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C7E0D4-A89B-457F-8D0D-11B63FA3C298}" xr6:coauthVersionLast="47" xr6:coauthVersionMax="47" xr10:uidLastSave="{00000000-0000-0000-0000-000000000000}"/>
  <bookViews>
    <workbookView xWindow="-108" yWindow="-108" windowWidth="23256" windowHeight="12456" xr2:uid="{B7FDBFC4-2E44-4BC4-8E34-09CCA5B523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4" i="1" l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183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47" i="1"/>
  <c r="O306" i="1"/>
  <c r="O307" i="1"/>
  <c r="O308" i="1"/>
  <c r="O309" i="1"/>
  <c r="O30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41" i="1"/>
  <c r="O299" i="1"/>
  <c r="O300" i="1"/>
  <c r="O301" i="1"/>
  <c r="O302" i="1"/>
  <c r="O303" i="1"/>
  <c r="O298" i="1"/>
  <c r="O29" i="1"/>
  <c r="O30" i="1"/>
  <c r="O31" i="1"/>
  <c r="O32" i="1"/>
  <c r="O33" i="1"/>
  <c r="O34" i="1"/>
  <c r="O35" i="1"/>
  <c r="O36" i="1"/>
  <c r="O37" i="1"/>
  <c r="O38" i="1"/>
  <c r="O39" i="1"/>
  <c r="O28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67" i="1"/>
</calcChain>
</file>

<file path=xl/sharedStrings.xml><?xml version="1.0" encoding="utf-8"?>
<sst xmlns="http://schemas.openxmlformats.org/spreadsheetml/2006/main" count="977" uniqueCount="449">
  <si>
    <t>One Sport</t>
  </si>
  <si>
    <t>55-112066222</t>
  </si>
  <si>
    <t>82 Via Bahia</t>
  </si>
  <si>
    <t>Sao Paolo</t>
  </si>
  <si>
    <t>NULL</t>
  </si>
  <si>
    <t>Brazil</t>
  </si>
  <si>
    <t>EXCELLENT</t>
  </si>
  <si>
    <t>Deportivo Caracas</t>
  </si>
  <si>
    <t>58-28066222</t>
  </si>
  <si>
    <t>31 Sabana Grande</t>
  </si>
  <si>
    <t>Caracas</t>
  </si>
  <si>
    <t>Venezuela</t>
  </si>
  <si>
    <t>New Delhi Sports</t>
  </si>
  <si>
    <t>91-11903338</t>
  </si>
  <si>
    <t>11368 Chanakya</t>
  </si>
  <si>
    <t>New Delhi</t>
  </si>
  <si>
    <t>India</t>
  </si>
  <si>
    <t>GOOD</t>
  </si>
  <si>
    <t>Ladysport</t>
  </si>
  <si>
    <t>1-206-104-0111</t>
  </si>
  <si>
    <t>281 Queen Street</t>
  </si>
  <si>
    <t>Seattle</t>
  </si>
  <si>
    <t>Washington</t>
  </si>
  <si>
    <t>US</t>
  </si>
  <si>
    <t>Kim's Sporting Goods</t>
  </si>
  <si>
    <t>852-3693888</t>
  </si>
  <si>
    <t>15 Henessey Road</t>
  </si>
  <si>
    <t>Hong Kong</t>
  </si>
  <si>
    <t>Sportique</t>
  </si>
  <si>
    <t>33-93425722253</t>
  </si>
  <si>
    <t>172 Rue de Place</t>
  </si>
  <si>
    <t>Cannes</t>
  </si>
  <si>
    <t>France</t>
  </si>
  <si>
    <t>Tall Rock Sports</t>
  </si>
  <si>
    <t>234-16036222</t>
  </si>
  <si>
    <t>10 Saint Antoine</t>
  </si>
  <si>
    <t>Lagos</t>
  </si>
  <si>
    <t>Nigeria</t>
  </si>
  <si>
    <t>Muench Sports</t>
  </si>
  <si>
    <t>49-895274449</t>
  </si>
  <si>
    <t>435 Gruenestrasse</t>
  </si>
  <si>
    <t>Munich</t>
  </si>
  <si>
    <t>Germany</t>
  </si>
  <si>
    <t>Beisbol Si!</t>
  </si>
  <si>
    <t>809-352666</t>
  </si>
  <si>
    <t>415 Playa Del Mar</t>
  </si>
  <si>
    <t>San Pedro de Macoris</t>
  </si>
  <si>
    <t>Dominican Republic</t>
  </si>
  <si>
    <t>Futbol Sonora</t>
  </si>
  <si>
    <t>52-404555</t>
  </si>
  <si>
    <t>5 Via Saguaro</t>
  </si>
  <si>
    <t>Nogales</t>
  </si>
  <si>
    <t>Mexico</t>
  </si>
  <si>
    <t>Helmut's Sports</t>
  </si>
  <si>
    <t>42-2111222</t>
  </si>
  <si>
    <t>45 Modrany</t>
  </si>
  <si>
    <t>Prague</t>
  </si>
  <si>
    <t>Czechoslovakia</t>
  </si>
  <si>
    <t>Hamada Sport</t>
  </si>
  <si>
    <t>20-31209222</t>
  </si>
  <si>
    <t>47A Corniche</t>
  </si>
  <si>
    <t>Alexandria</t>
  </si>
  <si>
    <t>Egypt</t>
  </si>
  <si>
    <t>Sports Emporium</t>
  </si>
  <si>
    <t>1-415-555-6281</t>
  </si>
  <si>
    <t>4783 168th Street</t>
  </si>
  <si>
    <t>San Francisco</t>
  </si>
  <si>
    <t>CA</t>
  </si>
  <si>
    <t>Sports Retail</t>
  </si>
  <si>
    <t>1-716-555-7777</t>
  </si>
  <si>
    <t>115 Main Street</t>
  </si>
  <si>
    <t>Buffalo</t>
  </si>
  <si>
    <t>NY</t>
  </si>
  <si>
    <t>POOR</t>
  </si>
  <si>
    <t>Sports Russia</t>
  </si>
  <si>
    <t>7-0953892444</t>
  </si>
  <si>
    <t>7070 Yekatamina</t>
  </si>
  <si>
    <t>Saint Petersburg</t>
  </si>
  <si>
    <t>Russia</t>
  </si>
  <si>
    <t>Sports,Inc</t>
  </si>
  <si>
    <t>540-123-4567</t>
  </si>
  <si>
    <t>72 High St</t>
  </si>
  <si>
    <t>Harrisonburg</t>
  </si>
  <si>
    <t>VA</t>
  </si>
  <si>
    <t>Toms Sporting Goods</t>
  </si>
  <si>
    <t>540-987-6543</t>
  </si>
  <si>
    <t>6741 Main St</t>
  </si>
  <si>
    <t>Athletic Attire</t>
  </si>
  <si>
    <t>540-123-6789</t>
  </si>
  <si>
    <t>54 Market St</t>
  </si>
  <si>
    <t>Athletics For All</t>
  </si>
  <si>
    <t>540-987-1234</t>
  </si>
  <si>
    <t>286 Main St</t>
  </si>
  <si>
    <t>Shoes for Sports</t>
  </si>
  <si>
    <t>540-123-9876</t>
  </si>
  <si>
    <t>538 High St</t>
  </si>
  <si>
    <t>BJ Athletics</t>
  </si>
  <si>
    <t>540-987-9999</t>
  </si>
  <si>
    <t>632 Water St</t>
  </si>
  <si>
    <t>Athletics One</t>
  </si>
  <si>
    <t>717-234-6786</t>
  </si>
  <si>
    <t>912 Columbia Rd</t>
  </si>
  <si>
    <t>Lancaster</t>
  </si>
  <si>
    <t>PA</t>
  </si>
  <si>
    <t>Great Athletes</t>
  </si>
  <si>
    <t>717-987-2341</t>
  </si>
  <si>
    <t>121 Litiz Pike</t>
  </si>
  <si>
    <t>Athletics Two</t>
  </si>
  <si>
    <t>717-987-9875</t>
  </si>
  <si>
    <t>435 High Rd</t>
  </si>
  <si>
    <t>Athletes Attic</t>
  </si>
  <si>
    <t>717-234-9888</t>
  </si>
  <si>
    <t>101 Greenfield Rd</t>
  </si>
  <si>
    <t xml:space="preserve">1. s_customer </t>
  </si>
  <si>
    <t xml:space="preserve"> 2. s_dept </t>
  </si>
  <si>
    <t>Operations</t>
  </si>
  <si>
    <t>Sales</t>
  </si>
  <si>
    <t>3. s_emp</t>
  </si>
  <si>
    <t>Martin</t>
  </si>
  <si>
    <t>Carmen</t>
  </si>
  <si>
    <t>martincu</t>
  </si>
  <si>
    <t>President</t>
  </si>
  <si>
    <t>Jackson</t>
  </si>
  <si>
    <t>Marta</t>
  </si>
  <si>
    <t>jacksomt</t>
  </si>
  <si>
    <t>Warehouse Manager</t>
  </si>
  <si>
    <t>Henderson</t>
  </si>
  <si>
    <t>Colin</t>
  </si>
  <si>
    <t>hendercs</t>
  </si>
  <si>
    <t>Sales Representative</t>
  </si>
  <si>
    <t>Gilson</t>
  </si>
  <si>
    <t>Sam</t>
  </si>
  <si>
    <t>gilsonsj</t>
  </si>
  <si>
    <t>Sanders</t>
  </si>
  <si>
    <t>Jason</t>
  </si>
  <si>
    <t>sanderjk</t>
  </si>
  <si>
    <t>Dameron</t>
  </si>
  <si>
    <t>Andre</t>
  </si>
  <si>
    <t>dameroap</t>
  </si>
  <si>
    <t>Hardwick</t>
  </si>
  <si>
    <t>Elaine</t>
  </si>
  <si>
    <t>hardwiem</t>
  </si>
  <si>
    <t>Stock Clerk</t>
  </si>
  <si>
    <t>Brown</t>
  </si>
  <si>
    <t>George</t>
  </si>
  <si>
    <t>browngw</t>
  </si>
  <si>
    <t>Thomas</t>
  </si>
  <si>
    <t>washintl</t>
  </si>
  <si>
    <t>Patterson</t>
  </si>
  <si>
    <t>Donald</t>
  </si>
  <si>
    <t>patterdv</t>
  </si>
  <si>
    <t>Bell</t>
  </si>
  <si>
    <t>Alexander</t>
  </si>
  <si>
    <t>bellag</t>
  </si>
  <si>
    <t>Smith</t>
  </si>
  <si>
    <t>Doris</t>
  </si>
  <si>
    <t>smithdj</t>
  </si>
  <si>
    <t>VP, Operations</t>
  </si>
  <si>
    <t>Gantos</t>
  </si>
  <si>
    <t>Eddie</t>
  </si>
  <si>
    <t>gantosej</t>
  </si>
  <si>
    <t>Stephenson</t>
  </si>
  <si>
    <t>Blaine</t>
  </si>
  <si>
    <t>stephebs</t>
  </si>
  <si>
    <t>Chester</t>
  </si>
  <si>
    <t>chesteek</t>
  </si>
  <si>
    <t>Pearl</t>
  </si>
  <si>
    <t>Roger</t>
  </si>
  <si>
    <t>pearlrg</t>
  </si>
  <si>
    <t>Dancer</t>
  </si>
  <si>
    <t>Bonnie</t>
  </si>
  <si>
    <t>dancerbw</t>
  </si>
  <si>
    <t>Schmitt</t>
  </si>
  <si>
    <t>Sandra</t>
  </si>
  <si>
    <t>schmitss</t>
  </si>
  <si>
    <t>Norton</t>
  </si>
  <si>
    <t>Michael</t>
  </si>
  <si>
    <t>nortonma</t>
  </si>
  <si>
    <t>VP, Sales</t>
  </si>
  <si>
    <t>Quentin</t>
  </si>
  <si>
    <t>Mark</t>
  </si>
  <si>
    <t>quentiml</t>
  </si>
  <si>
    <t>VP, Finance</t>
  </si>
  <si>
    <t>Roper</t>
  </si>
  <si>
    <t>Joseph</t>
  </si>
  <si>
    <t>roperjm</t>
  </si>
  <si>
    <t>VP, Administration</t>
  </si>
  <si>
    <t>Molly</t>
  </si>
  <si>
    <t>brownmr</t>
  </si>
  <si>
    <t>Hawkins</t>
  </si>
  <si>
    <t>Roberta</t>
  </si>
  <si>
    <t>hawkinrt</t>
  </si>
  <si>
    <t>Burns</t>
  </si>
  <si>
    <t>Ben</t>
  </si>
  <si>
    <t>burnsba</t>
  </si>
  <si>
    <t>Catskill</t>
  </si>
  <si>
    <t>Antoinette</t>
  </si>
  <si>
    <t>catskiaw</t>
  </si>
  <si>
    <t>4. s_inventory</t>
  </si>
  <si>
    <t>Phenomenal sales...</t>
  </si>
  <si>
    <t>Wait for Spring.</t>
  </si>
  <si>
    <t>1993-02-08 00:00:00.000</t>
  </si>
  <si>
    <t>1993-04-12 00:00:00.000</t>
  </si>
  <si>
    <t>5. s_item</t>
  </si>
  <si>
    <t>6. s_ord</t>
  </si>
  <si>
    <t>CREDIT</t>
  </si>
  <si>
    <t>Y</t>
  </si>
  <si>
    <t>CASH</t>
  </si>
  <si>
    <t>100</t>
  </si>
  <si>
    <t>601100.00</t>
  </si>
  <si>
    <t>204</t>
  </si>
  <si>
    <t>11</t>
  </si>
  <si>
    <t>101</t>
  </si>
  <si>
    <t>8056.60</t>
  </si>
  <si>
    <t>205</t>
  </si>
  <si>
    <t>14</t>
  </si>
  <si>
    <t>102</t>
  </si>
  <si>
    <t>8335.00</t>
  </si>
  <si>
    <t>206</t>
  </si>
  <si>
    <t>12</t>
  </si>
  <si>
    <t>103</t>
  </si>
  <si>
    <t>377.00</t>
  </si>
  <si>
    <t>208</t>
  </si>
  <si>
    <t>104</t>
  </si>
  <si>
    <t>32430.00</t>
  </si>
  <si>
    <t>13</t>
  </si>
  <si>
    <t>105</t>
  </si>
  <si>
    <t>2722.24</t>
  </si>
  <si>
    <t>209</t>
  </si>
  <si>
    <t>106</t>
  </si>
  <si>
    <t>15634.00</t>
  </si>
  <si>
    <t>210</t>
  </si>
  <si>
    <t>107</t>
  </si>
  <si>
    <t>142171.00</t>
  </si>
  <si>
    <t>211</t>
  </si>
  <si>
    <t>108</t>
  </si>
  <si>
    <t>149570.00</t>
  </si>
  <si>
    <t>212</t>
  </si>
  <si>
    <t>109</t>
  </si>
  <si>
    <t>1020935.00</t>
  </si>
  <si>
    <t>213</t>
  </si>
  <si>
    <t>110</t>
  </si>
  <si>
    <t>1539.13</t>
  </si>
  <si>
    <t>214</t>
  </si>
  <si>
    <t>111</t>
  </si>
  <si>
    <t>2770.00</t>
  </si>
  <si>
    <t>112</t>
  </si>
  <si>
    <t>550.00</t>
  </si>
  <si>
    <t>97</t>
  </si>
  <si>
    <t>84000.00</t>
  </si>
  <si>
    <t>201</t>
  </si>
  <si>
    <t>98</t>
  </si>
  <si>
    <t>595.00</t>
  </si>
  <si>
    <t>202</t>
  </si>
  <si>
    <t>99</t>
  </si>
  <si>
    <t>7707.00</t>
  </si>
  <si>
    <t>203</t>
  </si>
  <si>
    <t>7. s_product</t>
  </si>
  <si>
    <t>Bunny Boot</t>
  </si>
  <si>
    <t>Beginner's ski boot</t>
  </si>
  <si>
    <t>Ace Ski Boot</t>
  </si>
  <si>
    <t>Intermediate ski boot</t>
  </si>
  <si>
    <t>Pro Ski Boot</t>
  </si>
  <si>
    <t>Advanced ski boot</t>
  </si>
  <si>
    <t>Bunny Ski Pole</t>
  </si>
  <si>
    <t>Beginner's ski pole</t>
  </si>
  <si>
    <t>Ace Ski Pole</t>
  </si>
  <si>
    <t>Intermediate ski pole</t>
  </si>
  <si>
    <t>Pro Ski Pole</t>
  </si>
  <si>
    <t>Advanced ski pole</t>
  </si>
  <si>
    <t>Junior Soccer Ball</t>
  </si>
  <si>
    <t>Junior soccer ball</t>
  </si>
  <si>
    <t>World Cup Soccer Ball</t>
  </si>
  <si>
    <t>World cup soccer ball</t>
  </si>
  <si>
    <t>World Cup Net</t>
  </si>
  <si>
    <t>World cup net</t>
  </si>
  <si>
    <t>Black Hawk Knee Pads</t>
  </si>
  <si>
    <t>Knee pads, pair</t>
  </si>
  <si>
    <t>Black Hawk Elbow Pads</t>
  </si>
  <si>
    <t>Elbow pads, pair</t>
  </si>
  <si>
    <t>Grand Prix Bicycle</t>
  </si>
  <si>
    <t>Road bicycle</t>
  </si>
  <si>
    <t>Himalaya Bicycle</t>
  </si>
  <si>
    <t>Mountain bicycle</t>
  </si>
  <si>
    <t>Grand Prix Bicycle Tires</t>
  </si>
  <si>
    <t>Road bicycle tires</t>
  </si>
  <si>
    <t>Himalaya Tires</t>
  </si>
  <si>
    <t>Mountain bicycle tires</t>
  </si>
  <si>
    <t>New Air Pump</t>
  </si>
  <si>
    <t>Tire pump</t>
  </si>
  <si>
    <t>Slaker Water Bottle</t>
  </si>
  <si>
    <t>Water bottle</t>
  </si>
  <si>
    <t>Safe-T Helmet</t>
  </si>
  <si>
    <t>Bicycle helmet</t>
  </si>
  <si>
    <t>Alexeyer Pro Lifting Bar</t>
  </si>
  <si>
    <t>Straight bar</t>
  </si>
  <si>
    <t>Pro Curling Bar</t>
  </si>
  <si>
    <t>Curling bar</t>
  </si>
  <si>
    <t>Prostar 10 Pound Weight</t>
  </si>
  <si>
    <t>Ten pound weight</t>
  </si>
  <si>
    <t>Prostar 20 Pound Weight</t>
  </si>
  <si>
    <t>Twenty pound weight</t>
  </si>
  <si>
    <t>Prostar 50 Pound Weight</t>
  </si>
  <si>
    <t>Fifty pound weight</t>
  </si>
  <si>
    <t>Prostar 80 Pound Weight</t>
  </si>
  <si>
    <t>Eighty pound weight</t>
  </si>
  <si>
    <t>Prostar 100 Pound Weight</t>
  </si>
  <si>
    <t>One hundred pound weight</t>
  </si>
  <si>
    <t>Major League Baseball</t>
  </si>
  <si>
    <t>Baseball</t>
  </si>
  <si>
    <t>Chapman Helmet</t>
  </si>
  <si>
    <t>Batting helmet</t>
  </si>
  <si>
    <t>Griffey Glove</t>
  </si>
  <si>
    <t>Outfielder's glove</t>
  </si>
  <si>
    <t>Alomar Glove</t>
  </si>
  <si>
    <t>Infielder's glove</t>
  </si>
  <si>
    <t>Steinbach Glove</t>
  </si>
  <si>
    <t>Catcher's glove</t>
  </si>
  <si>
    <t>Cabrera Bat</t>
  </si>
  <si>
    <t>Thirty inch bat</t>
  </si>
  <si>
    <t>Puckett Bat</t>
  </si>
  <si>
    <t>Thirty-two inch bat</t>
  </si>
  <si>
    <t>Winfield Bat</t>
  </si>
  <si>
    <t>Thirty-six inch bat</t>
  </si>
  <si>
    <t>10011</t>
  </si>
  <si>
    <t>150.00</t>
  </si>
  <si>
    <t>10012</t>
  </si>
  <si>
    <t>200.00</t>
  </si>
  <si>
    <t>10013</t>
  </si>
  <si>
    <t>410.00</t>
  </si>
  <si>
    <t>10021</t>
  </si>
  <si>
    <t>16.25</t>
  </si>
  <si>
    <t>10022</t>
  </si>
  <si>
    <t>21.95</t>
  </si>
  <si>
    <t>10023</t>
  </si>
  <si>
    <t>40.95</t>
  </si>
  <si>
    <t>20106</t>
  </si>
  <si>
    <t>11.00</t>
  </si>
  <si>
    <t>20108</t>
  </si>
  <si>
    <t>28.00</t>
  </si>
  <si>
    <t>20201</t>
  </si>
  <si>
    <t>123.00</t>
  </si>
  <si>
    <t>20510</t>
  </si>
  <si>
    <t>9.00</t>
  </si>
  <si>
    <t>20512</t>
  </si>
  <si>
    <t>8.00</t>
  </si>
  <si>
    <t>30321</t>
  </si>
  <si>
    <t>1669.00</t>
  </si>
  <si>
    <t>30326</t>
  </si>
  <si>
    <t>582.00</t>
  </si>
  <si>
    <t>30421</t>
  </si>
  <si>
    <t>16.00</t>
  </si>
  <si>
    <t>30426</t>
  </si>
  <si>
    <t>18.25</t>
  </si>
  <si>
    <t>30433</t>
  </si>
  <si>
    <t>20.00</t>
  </si>
  <si>
    <t>32779</t>
  </si>
  <si>
    <t>7.00</t>
  </si>
  <si>
    <t>32861</t>
  </si>
  <si>
    <t>60.00</t>
  </si>
  <si>
    <t>40421</t>
  </si>
  <si>
    <t>65.00</t>
  </si>
  <si>
    <t>40422</t>
  </si>
  <si>
    <t>50.00</t>
  </si>
  <si>
    <t>41010</t>
  </si>
  <si>
    <t>41020</t>
  </si>
  <si>
    <t>12.00</t>
  </si>
  <si>
    <t>41050</t>
  </si>
  <si>
    <t>25.00</t>
  </si>
  <si>
    <t>41080</t>
  </si>
  <si>
    <t>35.00</t>
  </si>
  <si>
    <t>41100</t>
  </si>
  <si>
    <t>45.00</t>
  </si>
  <si>
    <t>50169</t>
  </si>
  <si>
    <t>4.29</t>
  </si>
  <si>
    <t>50273</t>
  </si>
  <si>
    <t>22.89</t>
  </si>
  <si>
    <t>50417</t>
  </si>
  <si>
    <t>80.00</t>
  </si>
  <si>
    <t>50418</t>
  </si>
  <si>
    <t>75.00</t>
  </si>
  <si>
    <t>50419</t>
  </si>
  <si>
    <t>50530</t>
  </si>
  <si>
    <t>50532</t>
  </si>
  <si>
    <t>47.00</t>
  </si>
  <si>
    <t>50536</t>
  </si>
  <si>
    <t>8. s_region</t>
  </si>
  <si>
    <t>Africa / Middle East</t>
  </si>
  <si>
    <t>Asia</t>
  </si>
  <si>
    <t>Central America /Caribbean</t>
  </si>
  <si>
    <t>Europe</t>
  </si>
  <si>
    <t>North America</t>
  </si>
  <si>
    <t>South America</t>
  </si>
  <si>
    <t>283 King Street</t>
  </si>
  <si>
    <t>WA</t>
  </si>
  <si>
    <t>5 Modrany</t>
  </si>
  <si>
    <t>Bratislava</t>
  </si>
  <si>
    <t>Czechozlovakia</t>
  </si>
  <si>
    <t>68 Via Centrale</t>
  </si>
  <si>
    <t>6921 King Way</t>
  </si>
  <si>
    <t>86 Chu Street</t>
  </si>
  <si>
    <t>9. s_warehouse</t>
  </si>
  <si>
    <t>Administration</t>
  </si>
  <si>
    <t>Finance</t>
  </si>
  <si>
    <t>10.00</t>
  </si>
  <si>
    <t>12.50</t>
  </si>
  <si>
    <t>17.50</t>
  </si>
  <si>
    <t>1990-03-03</t>
  </si>
  <si>
    <t xml:space="preserve">1991-02-27 </t>
  </si>
  <si>
    <t>1990-05-14</t>
  </si>
  <si>
    <t xml:space="preserve">1992-01-18 </t>
  </si>
  <si>
    <t xml:space="preserve">1991-02-18 </t>
  </si>
  <si>
    <t xml:space="preserve">1991-10-09 </t>
  </si>
  <si>
    <t xml:space="preserve">1992-02-07 </t>
  </si>
  <si>
    <t xml:space="preserve">1990-03-08 </t>
  </si>
  <si>
    <t xml:space="preserve">1991-02-09 </t>
  </si>
  <si>
    <t xml:space="preserve">1991-08-06 </t>
  </si>
  <si>
    <t>1991-05-26</t>
  </si>
  <si>
    <t>1990-03-08</t>
  </si>
  <si>
    <t>1990-11-30</t>
  </si>
  <si>
    <t>1991-03-17</t>
  </si>
  <si>
    <t xml:space="preserve">1990-11-30 </t>
  </si>
  <si>
    <t>1990-10-17</t>
  </si>
  <si>
    <t xml:space="preserve">1991-03-17 </t>
  </si>
  <si>
    <t xml:space="preserve">1991-05-09 </t>
  </si>
  <si>
    <t xml:space="preserve">1991-06-17 </t>
  </si>
  <si>
    <t>1990-04-07</t>
  </si>
  <si>
    <t xml:space="preserve">1990-03-04 </t>
  </si>
  <si>
    <t>1991-01-18</t>
  </si>
  <si>
    <t xml:space="preserve">1990-05-14 </t>
  </si>
  <si>
    <t xml:space="preserve">1990-04-07 </t>
  </si>
  <si>
    <t xml:space="preserve">1992-02-09 </t>
  </si>
  <si>
    <t xml:space="preserve">1992-08-31 </t>
  </si>
  <si>
    <t xml:space="preserve">1992-09-01 </t>
  </si>
  <si>
    <t xml:space="preserve">1992-09-02 </t>
  </si>
  <si>
    <t xml:space="preserve">1992-09-03 </t>
  </si>
  <si>
    <t xml:space="preserve">1992-09-04 </t>
  </si>
  <si>
    <t xml:space="preserve">1992-09-07 </t>
  </si>
  <si>
    <t xml:space="preserve">1992-09-08 </t>
  </si>
  <si>
    <t xml:space="preserve">1992-09-09 </t>
  </si>
  <si>
    <t xml:space="preserve">1992-08-28 </t>
  </si>
  <si>
    <t xml:space="preserve">1992-09-10 </t>
  </si>
  <si>
    <t xml:space="preserve">1992-09-15 </t>
  </si>
  <si>
    <t xml:space="preserve">1992-09-22 </t>
  </si>
  <si>
    <t xml:space="preserve">1992-09-23 </t>
  </si>
  <si>
    <t xml:space="preserve">1992-09-18 </t>
  </si>
  <si>
    <t xml:space="preserve">1992-09-21 </t>
  </si>
  <si>
    <t xml:space="preserve">1992-09-28 </t>
  </si>
  <si>
    <t xml:space="preserve">1992-09-17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</si>
</sst>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" fillId="0" borderId="0" xfId="0" applyNumberFormat="1" applyFont="1"/>
    <xf numFmtId="49" fontId="0" fillId="0" borderId="3" xfId="0" applyNumberFormat="1" applyBorder="1"/>
    <xf numFmtId="49" fontId="0" fillId="0" borderId="5" xfId="0" applyNumberFormat="1" applyBorder="1"/>
    <xf numFmtId="49" fontId="0" fillId="0" borderId="8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4" xfId="0" applyNumberFormat="1" applyBorder="1"/>
    <xf numFmtId="49" fontId="0" fillId="0" borderId="0" xfId="0" applyNumberFormat="1"/>
    <xf numFmtId="49" fontId="0" fillId="0" borderId="6" xfId="0" applyNumberFormat="1" applyBorder="1"/>
    <xf numFmtId="49" fontId="0" fillId="0" borderId="7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0" fontId="1" fillId="0" borderId="0" xfId="0" applyFont="1" applyBorder="1"/>
    <xf numFmtId="1" fontId="0" fillId="0" borderId="0" xfId="0" applyNumberFormat="1"/>
    <xf numFmtId="1" fontId="0" fillId="0" borderId="2" xfId="0" applyNumberFormat="1" applyBorder="1"/>
    <xf numFmtId="1" fontId="0" fillId="0" borderId="0" xfId="0" applyNumberFormat="1" applyBorder="1"/>
    <xf numFmtId="1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726A-E0F9-4D17-AC35-69642043B9AE}">
  <dimension ref="A1:O309"/>
  <sheetViews>
    <sheetView tabSelected="1" topLeftCell="A273" zoomScale="77" zoomScaleNormal="100" workbookViewId="0">
      <selection activeCell="B218" sqref="B218"/>
    </sheetView>
  </sheetViews>
  <sheetFormatPr defaultRowHeight="14.4" x14ac:dyDescent="0.3"/>
  <cols>
    <col min="1" max="1" width="13.5546875" bestFit="1" customWidth="1"/>
    <col min="2" max="2" width="23.6640625" bestFit="1" customWidth="1"/>
    <col min="3" max="3" width="22.5546875" bestFit="1" customWidth="1"/>
    <col min="4" max="4" width="14.77734375" bestFit="1" customWidth="1"/>
    <col min="5" max="5" width="21.6640625" bestFit="1" customWidth="1"/>
    <col min="6" max="6" width="18.44140625" bestFit="1" customWidth="1"/>
    <col min="7" max="7" width="30.6640625" customWidth="1"/>
    <col min="15" max="15" width="160.77734375" customWidth="1"/>
  </cols>
  <sheetData>
    <row r="1" spans="1:15" x14ac:dyDescent="0.3">
      <c r="A1" s="1" t="s">
        <v>113</v>
      </c>
    </row>
    <row r="2" spans="1:15" x14ac:dyDescent="0.3">
      <c r="A2" s="2">
        <v>201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4</v>
      </c>
      <c r="I2" s="3" t="s">
        <v>6</v>
      </c>
      <c r="J2" s="3" t="s">
        <v>4</v>
      </c>
      <c r="K2" s="3">
        <v>2</v>
      </c>
      <c r="L2" s="4">
        <v>12</v>
      </c>
      <c r="O2" t="str">
        <f>"INSERT INTO s_customer VALUES('"&amp;A2&amp;"', '"&amp;B2&amp;"', '"&amp;C2&amp;"', '"&amp;D2&amp;"', '"&amp;E2&amp;"', '"&amp;F2&amp;"', '"&amp;G2&amp;"', "&amp;H2&amp;", '"&amp;I2&amp;"', '"&amp;J2&amp;"', "&amp;K2&amp;", "&amp;L2&amp;")"</f>
        <v>INSERT INTO s_customer VALUES('201', 'One Sport', '55-112066222', '82 Via Bahia', 'Sao Paolo', 'NULL', 'Brazil', NULL, 'EXCELLENT', 'NULL', 2, 12)</v>
      </c>
    </row>
    <row r="3" spans="1:15" x14ac:dyDescent="0.3">
      <c r="A3" s="5">
        <v>202</v>
      </c>
      <c r="B3" t="s">
        <v>7</v>
      </c>
      <c r="C3" t="s">
        <v>8</v>
      </c>
      <c r="D3" t="s">
        <v>9</v>
      </c>
      <c r="E3" t="s">
        <v>10</v>
      </c>
      <c r="F3" t="s">
        <v>4</v>
      </c>
      <c r="G3" t="s">
        <v>11</v>
      </c>
      <c r="H3" t="s">
        <v>4</v>
      </c>
      <c r="I3" t="s">
        <v>6</v>
      </c>
      <c r="J3" t="s">
        <v>4</v>
      </c>
      <c r="K3">
        <v>2</v>
      </c>
      <c r="L3" s="6">
        <v>12</v>
      </c>
      <c r="O3" t="str">
        <f t="shared" ref="O3:O26" si="0">"INSERT INTO s_customer VALUES('"&amp;A3&amp;"', '"&amp;B3&amp;"', '"&amp;C3&amp;"', '"&amp;D3&amp;"', '"&amp;E3&amp;"', '"&amp;F3&amp;"', '"&amp;G3&amp;"', "&amp;H3&amp;", '"&amp;I3&amp;"', '"&amp;J3&amp;"', "&amp;K3&amp;", "&amp;L3&amp;")"</f>
        <v>INSERT INTO s_customer VALUES('202', 'Deportivo Caracas', '58-28066222', '31 Sabana Grande', 'Caracas', 'NULL', 'Venezuela', NULL, 'EXCELLENT', 'NULL', 2, 12)</v>
      </c>
    </row>
    <row r="4" spans="1:15" x14ac:dyDescent="0.3">
      <c r="A4" s="5">
        <v>203</v>
      </c>
      <c r="B4" s="31" t="s">
        <v>12</v>
      </c>
      <c r="C4" s="31" t="s">
        <v>13</v>
      </c>
      <c r="D4" s="31" t="s">
        <v>14</v>
      </c>
      <c r="E4" s="31" t="s">
        <v>15</v>
      </c>
      <c r="F4" s="31" t="s">
        <v>4</v>
      </c>
      <c r="G4" s="31" t="s">
        <v>16</v>
      </c>
      <c r="H4" s="31" t="s">
        <v>4</v>
      </c>
      <c r="I4" s="31" t="s">
        <v>17</v>
      </c>
      <c r="J4" s="31" t="s">
        <v>4</v>
      </c>
      <c r="K4">
        <v>4</v>
      </c>
      <c r="L4" s="6">
        <v>11</v>
      </c>
      <c r="O4" t="str">
        <f t="shared" si="0"/>
        <v>INSERT INTO s_customer VALUES('203', 'New Delhi Sports', '91-11903338', '11368 Chanakya', 'New Delhi', 'NULL', 'India', NULL, 'GOOD', 'NULL', 4, 11)</v>
      </c>
    </row>
    <row r="5" spans="1:15" x14ac:dyDescent="0.3">
      <c r="A5" s="5">
        <v>204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4</v>
      </c>
      <c r="I5" t="s">
        <v>6</v>
      </c>
      <c r="J5" s="31" t="s">
        <v>4</v>
      </c>
      <c r="K5">
        <v>1</v>
      </c>
      <c r="L5" s="6">
        <v>11</v>
      </c>
      <c r="O5" t="str">
        <f t="shared" si="0"/>
        <v>INSERT INTO s_customer VALUES('204', 'Ladysport', '1-206-104-0111', '281 Queen Street', 'Seattle', 'Washington', 'US', NULL, 'EXCELLENT', 'NULL', 1, 11)</v>
      </c>
    </row>
    <row r="6" spans="1:15" x14ac:dyDescent="0.3">
      <c r="A6" s="5">
        <v>205</v>
      </c>
      <c r="B6" t="s">
        <v>24</v>
      </c>
      <c r="C6" t="s">
        <v>25</v>
      </c>
      <c r="D6" t="s">
        <v>26</v>
      </c>
      <c r="E6" t="s">
        <v>27</v>
      </c>
      <c r="F6" t="s">
        <v>4</v>
      </c>
      <c r="G6" t="s">
        <v>4</v>
      </c>
      <c r="H6" t="s">
        <v>4</v>
      </c>
      <c r="I6" t="s">
        <v>6</v>
      </c>
      <c r="J6" s="31" t="s">
        <v>4</v>
      </c>
      <c r="K6">
        <v>4</v>
      </c>
      <c r="L6" s="6">
        <v>11</v>
      </c>
      <c r="O6" t="str">
        <f t="shared" si="0"/>
        <v>INSERT INTO s_customer VALUES('205', 'Kim's Sporting Goods', '852-3693888', '15 Henessey Road', 'Hong Kong', 'NULL', 'NULL', NULL, 'EXCELLENT', 'NULL', 4, 11)</v>
      </c>
    </row>
    <row r="7" spans="1:15" x14ac:dyDescent="0.3">
      <c r="A7" s="5">
        <v>206</v>
      </c>
      <c r="B7" t="s">
        <v>28</v>
      </c>
      <c r="C7" t="s">
        <v>29</v>
      </c>
      <c r="D7" t="s">
        <v>30</v>
      </c>
      <c r="E7" t="s">
        <v>31</v>
      </c>
      <c r="F7" t="s">
        <v>4</v>
      </c>
      <c r="G7" t="s">
        <v>32</v>
      </c>
      <c r="H7" t="s">
        <v>4</v>
      </c>
      <c r="I7" t="s">
        <v>6</v>
      </c>
      <c r="J7" s="31" t="s">
        <v>4</v>
      </c>
      <c r="K7">
        <v>5</v>
      </c>
      <c r="L7" s="6">
        <v>13</v>
      </c>
      <c r="O7" t="str">
        <f t="shared" si="0"/>
        <v>INSERT INTO s_customer VALUES('206', 'Sportique', '33-93425722253', '172 Rue de Place', 'Cannes', 'NULL', 'France', NULL, 'EXCELLENT', 'NULL', 5, 13)</v>
      </c>
    </row>
    <row r="8" spans="1:15" x14ac:dyDescent="0.3">
      <c r="A8" s="5">
        <v>207</v>
      </c>
      <c r="B8" t="s">
        <v>33</v>
      </c>
      <c r="C8" t="s">
        <v>34</v>
      </c>
      <c r="D8" t="s">
        <v>35</v>
      </c>
      <c r="E8" t="s">
        <v>36</v>
      </c>
      <c r="F8" t="s">
        <v>4</v>
      </c>
      <c r="G8" t="s">
        <v>37</v>
      </c>
      <c r="H8" t="s">
        <v>4</v>
      </c>
      <c r="I8" t="s">
        <v>17</v>
      </c>
      <c r="J8" s="31" t="s">
        <v>4</v>
      </c>
      <c r="K8">
        <v>3</v>
      </c>
      <c r="L8" s="6" t="s">
        <v>4</v>
      </c>
      <c r="O8" t="str">
        <f t="shared" si="0"/>
        <v>INSERT INTO s_customer VALUES('207', 'Tall Rock Sports', '234-16036222', '10 Saint Antoine', 'Lagos', 'NULL', 'Nigeria', NULL, 'GOOD', 'NULL', 3, NULL)</v>
      </c>
    </row>
    <row r="9" spans="1:15" x14ac:dyDescent="0.3">
      <c r="A9" s="5">
        <v>208</v>
      </c>
      <c r="B9" t="s">
        <v>38</v>
      </c>
      <c r="C9" t="s">
        <v>39</v>
      </c>
      <c r="D9" t="s">
        <v>40</v>
      </c>
      <c r="E9" t="s">
        <v>41</v>
      </c>
      <c r="F9" t="s">
        <v>4</v>
      </c>
      <c r="G9" t="s">
        <v>42</v>
      </c>
      <c r="H9" t="s">
        <v>4</v>
      </c>
      <c r="I9" t="s">
        <v>17</v>
      </c>
      <c r="J9" s="31" t="s">
        <v>4</v>
      </c>
      <c r="K9">
        <v>5</v>
      </c>
      <c r="L9" s="6">
        <v>13</v>
      </c>
      <c r="O9" t="str">
        <f t="shared" si="0"/>
        <v>INSERT INTO s_customer VALUES('208', 'Muench Sports', '49-895274449', '435 Gruenestrasse', 'Munich', 'NULL', 'Germany', NULL, 'GOOD', 'NULL', 5, 13)</v>
      </c>
    </row>
    <row r="10" spans="1:15" x14ac:dyDescent="0.3">
      <c r="A10" s="5">
        <v>209</v>
      </c>
      <c r="B10" t="s">
        <v>43</v>
      </c>
      <c r="C10" t="s">
        <v>44</v>
      </c>
      <c r="D10" t="s">
        <v>45</v>
      </c>
      <c r="E10" t="s">
        <v>46</v>
      </c>
      <c r="F10" t="s">
        <v>4</v>
      </c>
      <c r="G10" t="s">
        <v>47</v>
      </c>
      <c r="H10" t="s">
        <v>4</v>
      </c>
      <c r="I10" t="s">
        <v>6</v>
      </c>
      <c r="J10" s="31" t="s">
        <v>4</v>
      </c>
      <c r="K10">
        <v>6</v>
      </c>
      <c r="L10" s="6">
        <v>11</v>
      </c>
      <c r="O10" t="str">
        <f t="shared" si="0"/>
        <v>INSERT INTO s_customer VALUES('209', 'Beisbol Si!', '809-352666', '415 Playa Del Mar', 'San Pedro de Macoris', 'NULL', 'Dominican Republic', NULL, 'EXCELLENT', 'NULL', 6, 11)</v>
      </c>
    </row>
    <row r="11" spans="1:15" x14ac:dyDescent="0.3">
      <c r="A11" s="5">
        <v>210</v>
      </c>
      <c r="B11" t="s">
        <v>48</v>
      </c>
      <c r="C11" t="s">
        <v>49</v>
      </c>
      <c r="D11" t="s">
        <v>50</v>
      </c>
      <c r="E11" t="s">
        <v>51</v>
      </c>
      <c r="F11" t="s">
        <v>4</v>
      </c>
      <c r="G11" t="s">
        <v>52</v>
      </c>
      <c r="H11" t="s">
        <v>4</v>
      </c>
      <c r="I11" t="s">
        <v>6</v>
      </c>
      <c r="J11" s="31" t="s">
        <v>4</v>
      </c>
      <c r="K11">
        <v>2</v>
      </c>
      <c r="L11" s="6">
        <v>12</v>
      </c>
      <c r="O11" t="str">
        <f t="shared" si="0"/>
        <v>INSERT INTO s_customer VALUES('210', 'Futbol Sonora', '52-404555', '5 Via Saguaro', 'Nogales', 'NULL', 'Mexico', NULL, 'EXCELLENT', 'NULL', 2, 12)</v>
      </c>
    </row>
    <row r="12" spans="1:15" x14ac:dyDescent="0.3">
      <c r="A12" s="5">
        <v>211</v>
      </c>
      <c r="B12" t="s">
        <v>53</v>
      </c>
      <c r="C12" t="s">
        <v>54</v>
      </c>
      <c r="D12" t="s">
        <v>55</v>
      </c>
      <c r="E12" t="s">
        <v>56</v>
      </c>
      <c r="F12" t="s">
        <v>4</v>
      </c>
      <c r="G12" t="s">
        <v>57</v>
      </c>
      <c r="H12" t="s">
        <v>4</v>
      </c>
      <c r="I12" t="s">
        <v>6</v>
      </c>
      <c r="J12" s="31" t="s">
        <v>4</v>
      </c>
      <c r="K12">
        <v>5</v>
      </c>
      <c r="L12" s="6">
        <v>11</v>
      </c>
      <c r="O12" t="str">
        <f t="shared" si="0"/>
        <v>INSERT INTO s_customer VALUES('211', 'Helmut's Sports', '42-2111222', '45 Modrany', 'Prague', 'NULL', 'Czechoslovakia', NULL, 'EXCELLENT', 'NULL', 5, 11)</v>
      </c>
    </row>
    <row r="13" spans="1:15" x14ac:dyDescent="0.3">
      <c r="A13" s="5">
        <v>212</v>
      </c>
      <c r="B13" t="s">
        <v>58</v>
      </c>
      <c r="C13" t="s">
        <v>59</v>
      </c>
      <c r="D13" t="s">
        <v>60</v>
      </c>
      <c r="E13" t="s">
        <v>61</v>
      </c>
      <c r="F13" t="s">
        <v>4</v>
      </c>
      <c r="G13" t="s">
        <v>62</v>
      </c>
      <c r="H13" t="s">
        <v>4</v>
      </c>
      <c r="I13" t="s">
        <v>6</v>
      </c>
      <c r="J13" s="31" t="s">
        <v>4</v>
      </c>
      <c r="K13">
        <v>3</v>
      </c>
      <c r="L13" s="6">
        <v>13</v>
      </c>
      <c r="O13" t="str">
        <f t="shared" si="0"/>
        <v>INSERT INTO s_customer VALUES('212', 'Hamada Sport', '20-31209222', '47A Corniche', 'Alexandria', 'NULL', 'Egypt', NULL, 'EXCELLENT', 'NULL', 3, 13)</v>
      </c>
    </row>
    <row r="14" spans="1:15" x14ac:dyDescent="0.3">
      <c r="A14" s="5">
        <v>213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23</v>
      </c>
      <c r="H14" t="s">
        <v>4</v>
      </c>
      <c r="I14" t="s">
        <v>6</v>
      </c>
      <c r="J14" s="31" t="s">
        <v>4</v>
      </c>
      <c r="K14">
        <v>1</v>
      </c>
      <c r="L14" s="6">
        <v>11</v>
      </c>
      <c r="O14" t="str">
        <f t="shared" si="0"/>
        <v>INSERT INTO s_customer VALUES('213', 'Sports Emporium', '1-415-555-6281', '4783 168th Street', 'San Francisco', 'CA', 'US', NULL, 'EXCELLENT', 'NULL', 1, 11)</v>
      </c>
    </row>
    <row r="15" spans="1:15" x14ac:dyDescent="0.3">
      <c r="A15" s="5">
        <v>214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23</v>
      </c>
      <c r="H15" t="s">
        <v>4</v>
      </c>
      <c r="I15" t="s">
        <v>73</v>
      </c>
      <c r="J15" s="31" t="s">
        <v>4</v>
      </c>
      <c r="K15">
        <v>1</v>
      </c>
      <c r="L15" s="6">
        <v>11</v>
      </c>
      <c r="O15" t="str">
        <f t="shared" si="0"/>
        <v>INSERT INTO s_customer VALUES('214', 'Sports Retail', '1-716-555-7777', '115 Main Street', 'Buffalo', 'NY', 'US', NULL, 'POOR', 'NULL', 1, 11)</v>
      </c>
    </row>
    <row r="16" spans="1:15" x14ac:dyDescent="0.3">
      <c r="A16" s="5">
        <v>215</v>
      </c>
      <c r="B16" t="s">
        <v>74</v>
      </c>
      <c r="C16" t="s">
        <v>75</v>
      </c>
      <c r="D16" t="s">
        <v>76</v>
      </c>
      <c r="E16" t="s">
        <v>77</v>
      </c>
      <c r="F16" t="s">
        <v>4</v>
      </c>
      <c r="G16" t="s">
        <v>78</v>
      </c>
      <c r="H16" t="s">
        <v>4</v>
      </c>
      <c r="I16" t="s">
        <v>73</v>
      </c>
      <c r="J16" s="31" t="s">
        <v>4</v>
      </c>
      <c r="K16">
        <v>5</v>
      </c>
      <c r="L16" s="6">
        <v>11</v>
      </c>
      <c r="O16" t="str">
        <f t="shared" si="0"/>
        <v>INSERT INTO s_customer VALUES('215', 'Sports Russia', '7-0953892444', '7070 Yekatamina', 'Saint Petersburg', 'NULL', 'Russia', NULL, 'POOR', 'NULL', 5, 11)</v>
      </c>
    </row>
    <row r="17" spans="1:15" x14ac:dyDescent="0.3">
      <c r="A17" s="5">
        <v>301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23</v>
      </c>
      <c r="H17">
        <v>22809</v>
      </c>
      <c r="I17" t="s">
        <v>6</v>
      </c>
      <c r="J17" s="31" t="s">
        <v>4</v>
      </c>
      <c r="K17">
        <v>1</v>
      </c>
      <c r="L17" s="6">
        <v>12</v>
      </c>
      <c r="O17" t="str">
        <f t="shared" si="0"/>
        <v>INSERT INTO s_customer VALUES('301', 'Sports,Inc', '540-123-4567', '72 High St', 'Harrisonburg', 'VA', 'US', 22809, 'EXCELLENT', 'NULL', 1, 12)</v>
      </c>
    </row>
    <row r="18" spans="1:15" x14ac:dyDescent="0.3">
      <c r="A18" s="5">
        <v>302</v>
      </c>
      <c r="B18" t="s">
        <v>84</v>
      </c>
      <c r="C18" t="s">
        <v>85</v>
      </c>
      <c r="D18" t="s">
        <v>86</v>
      </c>
      <c r="E18" t="s">
        <v>82</v>
      </c>
      <c r="F18" t="s">
        <v>83</v>
      </c>
      <c r="G18" t="s">
        <v>23</v>
      </c>
      <c r="H18">
        <v>22809</v>
      </c>
      <c r="I18" t="s">
        <v>73</v>
      </c>
      <c r="J18" s="31" t="s">
        <v>4</v>
      </c>
      <c r="K18">
        <v>1</v>
      </c>
      <c r="L18" s="6">
        <v>14</v>
      </c>
      <c r="O18" t="str">
        <f t="shared" si="0"/>
        <v>INSERT INTO s_customer VALUES('302', 'Toms Sporting Goods', '540-987-6543', '6741 Main St', 'Harrisonburg', 'VA', 'US', 22809, 'POOR', 'NULL', 1, 14)</v>
      </c>
    </row>
    <row r="19" spans="1:15" x14ac:dyDescent="0.3">
      <c r="A19" s="5">
        <v>303</v>
      </c>
      <c r="B19" t="s">
        <v>87</v>
      </c>
      <c r="C19" t="s">
        <v>88</v>
      </c>
      <c r="D19" t="s">
        <v>89</v>
      </c>
      <c r="E19" t="s">
        <v>82</v>
      </c>
      <c r="F19" t="s">
        <v>83</v>
      </c>
      <c r="G19" t="s">
        <v>23</v>
      </c>
      <c r="H19">
        <v>22808</v>
      </c>
      <c r="I19" t="s">
        <v>17</v>
      </c>
      <c r="J19" s="31" t="s">
        <v>4</v>
      </c>
      <c r="K19">
        <v>1</v>
      </c>
      <c r="L19" s="6">
        <v>14</v>
      </c>
      <c r="O19" t="str">
        <f t="shared" si="0"/>
        <v>INSERT INTO s_customer VALUES('303', 'Athletic Attire', '540-123-6789', '54 Market St', 'Harrisonburg', 'VA', 'US', 22808, 'GOOD', 'NULL', 1, 14)</v>
      </c>
    </row>
    <row r="20" spans="1:15" x14ac:dyDescent="0.3">
      <c r="A20" s="5">
        <v>304</v>
      </c>
      <c r="B20" t="s">
        <v>90</v>
      </c>
      <c r="C20" t="s">
        <v>91</v>
      </c>
      <c r="D20" t="s">
        <v>92</v>
      </c>
      <c r="E20" t="s">
        <v>82</v>
      </c>
      <c r="F20" t="s">
        <v>83</v>
      </c>
      <c r="G20" t="s">
        <v>23</v>
      </c>
      <c r="H20">
        <v>22808</v>
      </c>
      <c r="I20" t="s">
        <v>6</v>
      </c>
      <c r="J20" s="31" t="s">
        <v>4</v>
      </c>
      <c r="K20">
        <v>1</v>
      </c>
      <c r="L20" s="6">
        <v>12</v>
      </c>
      <c r="O20" t="str">
        <f t="shared" si="0"/>
        <v>INSERT INTO s_customer VALUES('304', 'Athletics For All', '540-987-1234', '286 Main St', 'Harrisonburg', 'VA', 'US', 22808, 'EXCELLENT', 'NULL', 1, 12)</v>
      </c>
    </row>
    <row r="21" spans="1:15" x14ac:dyDescent="0.3">
      <c r="A21" s="5">
        <v>305</v>
      </c>
      <c r="B21" t="s">
        <v>93</v>
      </c>
      <c r="C21" t="s">
        <v>94</v>
      </c>
      <c r="D21" t="s">
        <v>95</v>
      </c>
      <c r="E21" t="s">
        <v>82</v>
      </c>
      <c r="F21" t="s">
        <v>83</v>
      </c>
      <c r="G21" t="s">
        <v>23</v>
      </c>
      <c r="H21">
        <v>22809</v>
      </c>
      <c r="I21" t="s">
        <v>6</v>
      </c>
      <c r="J21" s="31" t="s">
        <v>4</v>
      </c>
      <c r="K21">
        <v>1</v>
      </c>
      <c r="L21" s="6">
        <v>14</v>
      </c>
      <c r="O21" t="str">
        <f t="shared" si="0"/>
        <v>INSERT INTO s_customer VALUES('305', 'Shoes for Sports', '540-123-9876', '538 High St', 'Harrisonburg', 'VA', 'US', 22809, 'EXCELLENT', 'NULL', 1, 14)</v>
      </c>
    </row>
    <row r="22" spans="1:15" x14ac:dyDescent="0.3">
      <c r="A22" s="5">
        <v>306</v>
      </c>
      <c r="B22" t="s">
        <v>96</v>
      </c>
      <c r="C22" t="s">
        <v>97</v>
      </c>
      <c r="D22" t="s">
        <v>98</v>
      </c>
      <c r="E22" t="s">
        <v>82</v>
      </c>
      <c r="F22" t="s">
        <v>83</v>
      </c>
      <c r="G22" t="s">
        <v>23</v>
      </c>
      <c r="H22">
        <v>22810</v>
      </c>
      <c r="I22" t="s">
        <v>73</v>
      </c>
      <c r="J22" s="31" t="s">
        <v>4</v>
      </c>
      <c r="K22">
        <v>1</v>
      </c>
      <c r="L22" s="6">
        <v>12</v>
      </c>
      <c r="O22" t="str">
        <f t="shared" si="0"/>
        <v>INSERT INTO s_customer VALUES('306', 'BJ Athletics', '540-987-9999', '632 Water St', 'Harrisonburg', 'VA', 'US', 22810, 'POOR', 'NULL', 1, 12)</v>
      </c>
    </row>
    <row r="23" spans="1:15" x14ac:dyDescent="0.3">
      <c r="A23" s="5">
        <v>403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23</v>
      </c>
      <c r="H23">
        <v>17601</v>
      </c>
      <c r="I23" t="s">
        <v>17</v>
      </c>
      <c r="J23" s="31" t="s">
        <v>4</v>
      </c>
      <c r="K23">
        <v>1</v>
      </c>
      <c r="L23" s="6">
        <v>14</v>
      </c>
      <c r="O23" t="str">
        <f t="shared" si="0"/>
        <v>INSERT INTO s_customer VALUES('403', 'Athletics One', '717-234-6786', '912 Columbia Rd', 'Lancaster', 'PA', 'US', 17601, 'GOOD', 'NULL', 1, 14)</v>
      </c>
    </row>
    <row r="24" spans="1:15" x14ac:dyDescent="0.3">
      <c r="A24" s="5">
        <v>404</v>
      </c>
      <c r="B24" t="s">
        <v>104</v>
      </c>
      <c r="C24" t="s">
        <v>105</v>
      </c>
      <c r="D24" t="s">
        <v>106</v>
      </c>
      <c r="E24" t="s">
        <v>102</v>
      </c>
      <c r="F24" t="s">
        <v>103</v>
      </c>
      <c r="G24" t="s">
        <v>23</v>
      </c>
      <c r="H24">
        <v>17602</v>
      </c>
      <c r="I24" t="s">
        <v>6</v>
      </c>
      <c r="J24" s="31" t="s">
        <v>4</v>
      </c>
      <c r="K24">
        <v>1</v>
      </c>
      <c r="L24" s="6">
        <v>12</v>
      </c>
      <c r="O24" t="str">
        <f t="shared" si="0"/>
        <v>INSERT INTO s_customer VALUES('404', 'Great Athletes', '717-987-2341', '121 Litiz Pike', 'Lancaster', 'PA', 'US', 17602, 'EXCELLENT', 'NULL', 1, 12)</v>
      </c>
    </row>
    <row r="25" spans="1:15" x14ac:dyDescent="0.3">
      <c r="A25" s="5">
        <v>405</v>
      </c>
      <c r="B25" t="s">
        <v>107</v>
      </c>
      <c r="C25" t="s">
        <v>108</v>
      </c>
      <c r="D25" t="s">
        <v>109</v>
      </c>
      <c r="E25" t="s">
        <v>102</v>
      </c>
      <c r="F25" t="s">
        <v>103</v>
      </c>
      <c r="G25" t="s">
        <v>23</v>
      </c>
      <c r="H25">
        <v>17602</v>
      </c>
      <c r="I25" t="s">
        <v>6</v>
      </c>
      <c r="J25" s="31" t="s">
        <v>4</v>
      </c>
      <c r="K25">
        <v>1</v>
      </c>
      <c r="L25" s="6">
        <v>14</v>
      </c>
      <c r="O25" t="str">
        <f t="shared" si="0"/>
        <v>INSERT INTO s_customer VALUES('405', 'Athletics Two', '717-987-9875', '435 High Rd', 'Lancaster', 'PA', 'US', 17602, 'EXCELLENT', 'NULL', 1, 14)</v>
      </c>
    </row>
    <row r="26" spans="1:15" x14ac:dyDescent="0.3">
      <c r="A26" s="7">
        <v>406</v>
      </c>
      <c r="B26" s="8" t="s">
        <v>110</v>
      </c>
      <c r="C26" s="8" t="s">
        <v>111</v>
      </c>
      <c r="D26" s="8" t="s">
        <v>112</v>
      </c>
      <c r="E26" s="8" t="s">
        <v>102</v>
      </c>
      <c r="F26" s="8" t="s">
        <v>103</v>
      </c>
      <c r="G26" s="8" t="s">
        <v>23</v>
      </c>
      <c r="H26" s="8">
        <v>17601</v>
      </c>
      <c r="I26" s="8" t="s">
        <v>73</v>
      </c>
      <c r="J26" s="8" t="s">
        <v>4</v>
      </c>
      <c r="K26" s="8">
        <v>1</v>
      </c>
      <c r="L26" s="9">
        <v>12</v>
      </c>
      <c r="O26" t="str">
        <f t="shared" si="0"/>
        <v>INSERT INTO s_customer VALUES('406', 'Athletes Attic', '717-234-9888', '101 Greenfield Rd', 'Lancaster', 'PA', 'US', 17601, 'POOR', 'NULL', 1, 12)</v>
      </c>
    </row>
    <row r="27" spans="1:15" x14ac:dyDescent="0.3">
      <c r="A27" s="32" t="s">
        <v>114</v>
      </c>
      <c r="J27" s="31"/>
    </row>
    <row r="28" spans="1:15" x14ac:dyDescent="0.3">
      <c r="A28" s="2">
        <v>50</v>
      </c>
      <c r="B28" s="3" t="s">
        <v>402</v>
      </c>
      <c r="C28" s="4">
        <v>1</v>
      </c>
      <c r="O28" t="str">
        <f>"INSERT INTO s_dept VALUES('"&amp;A28&amp;"', '"&amp;B28&amp;"', "&amp;C28&amp;")"</f>
        <v>INSERT INTO s_dept VALUES('50', 'Administration', 1)</v>
      </c>
    </row>
    <row r="29" spans="1:15" x14ac:dyDescent="0.3">
      <c r="A29" s="5">
        <v>10</v>
      </c>
      <c r="B29" t="s">
        <v>403</v>
      </c>
      <c r="C29" s="6">
        <v>1</v>
      </c>
      <c r="O29" t="str">
        <f t="shared" ref="O29:O39" si="1">"INSERT INTO s_dept VALUES('"&amp;A29&amp;"', '"&amp;B29&amp;"', "&amp;C29&amp;")"</f>
        <v>INSERT INTO s_dept VALUES('10', 'Finance', 1)</v>
      </c>
    </row>
    <row r="30" spans="1:15" x14ac:dyDescent="0.3">
      <c r="A30" s="5">
        <v>41</v>
      </c>
      <c r="B30" t="s">
        <v>115</v>
      </c>
      <c r="C30" s="6">
        <v>1</v>
      </c>
      <c r="O30" t="str">
        <f t="shared" si="1"/>
        <v>INSERT INTO s_dept VALUES('41', 'Operations', 1)</v>
      </c>
    </row>
    <row r="31" spans="1:15" x14ac:dyDescent="0.3">
      <c r="A31" s="5">
        <v>42</v>
      </c>
      <c r="B31" t="s">
        <v>115</v>
      </c>
      <c r="C31" s="6">
        <v>2</v>
      </c>
      <c r="O31" t="str">
        <f t="shared" si="1"/>
        <v>INSERT INTO s_dept VALUES('42', 'Operations', 2)</v>
      </c>
    </row>
    <row r="32" spans="1:15" x14ac:dyDescent="0.3">
      <c r="A32" s="5">
        <v>43</v>
      </c>
      <c r="B32" t="s">
        <v>115</v>
      </c>
      <c r="C32" s="6">
        <v>3</v>
      </c>
      <c r="O32" t="str">
        <f t="shared" si="1"/>
        <v>INSERT INTO s_dept VALUES('43', 'Operations', 3)</v>
      </c>
    </row>
    <row r="33" spans="1:15" x14ac:dyDescent="0.3">
      <c r="A33" s="5">
        <v>44</v>
      </c>
      <c r="B33" t="s">
        <v>115</v>
      </c>
      <c r="C33" s="6">
        <v>4</v>
      </c>
      <c r="O33" t="str">
        <f t="shared" si="1"/>
        <v>INSERT INTO s_dept VALUES('44', 'Operations', 4)</v>
      </c>
    </row>
    <row r="34" spans="1:15" x14ac:dyDescent="0.3">
      <c r="A34" s="5">
        <v>45</v>
      </c>
      <c r="B34" t="s">
        <v>115</v>
      </c>
      <c r="C34" s="6">
        <v>5</v>
      </c>
      <c r="O34" t="str">
        <f t="shared" si="1"/>
        <v>INSERT INTO s_dept VALUES('45', 'Operations', 5)</v>
      </c>
    </row>
    <row r="35" spans="1:15" x14ac:dyDescent="0.3">
      <c r="A35" s="5">
        <v>31</v>
      </c>
      <c r="B35" t="s">
        <v>116</v>
      </c>
      <c r="C35" s="6">
        <v>1</v>
      </c>
      <c r="O35" t="str">
        <f t="shared" si="1"/>
        <v>INSERT INTO s_dept VALUES('31', 'Sales', 1)</v>
      </c>
    </row>
    <row r="36" spans="1:15" x14ac:dyDescent="0.3">
      <c r="A36" s="5">
        <v>32</v>
      </c>
      <c r="B36" t="s">
        <v>116</v>
      </c>
      <c r="C36" s="6">
        <v>2</v>
      </c>
      <c r="O36" t="str">
        <f t="shared" si="1"/>
        <v>INSERT INTO s_dept VALUES('32', 'Sales', 2)</v>
      </c>
    </row>
    <row r="37" spans="1:15" x14ac:dyDescent="0.3">
      <c r="A37" s="5">
        <v>33</v>
      </c>
      <c r="B37" t="s">
        <v>116</v>
      </c>
      <c r="C37" s="6">
        <v>3</v>
      </c>
      <c r="O37" t="str">
        <f t="shared" si="1"/>
        <v>INSERT INTO s_dept VALUES('33', 'Sales', 3)</v>
      </c>
    </row>
    <row r="38" spans="1:15" x14ac:dyDescent="0.3">
      <c r="A38" s="5">
        <v>34</v>
      </c>
      <c r="B38" t="s">
        <v>116</v>
      </c>
      <c r="C38" s="6">
        <v>4</v>
      </c>
      <c r="O38" t="str">
        <f t="shared" si="1"/>
        <v>INSERT INTO s_dept VALUES('34', 'Sales', 4)</v>
      </c>
    </row>
    <row r="39" spans="1:15" x14ac:dyDescent="0.3">
      <c r="A39" s="7">
        <v>35</v>
      </c>
      <c r="B39" s="8" t="s">
        <v>116</v>
      </c>
      <c r="C39" s="9">
        <v>5</v>
      </c>
      <c r="O39" t="str">
        <f t="shared" si="1"/>
        <v>INSERT INTO s_dept VALUES('35', 'Sales', 5)</v>
      </c>
    </row>
    <row r="40" spans="1:15" x14ac:dyDescent="0.3">
      <c r="A40" s="32" t="s">
        <v>117</v>
      </c>
      <c r="B40" s="31"/>
      <c r="C40" s="31"/>
      <c r="D40" s="31"/>
      <c r="E40" s="31"/>
      <c r="F40" s="31"/>
      <c r="G40" s="31"/>
      <c r="H40" s="31"/>
      <c r="I40" s="31"/>
      <c r="J40" s="31"/>
    </row>
    <row r="41" spans="1:15" x14ac:dyDescent="0.3">
      <c r="A41" s="20">
        <v>1</v>
      </c>
      <c r="B41" s="15" t="s">
        <v>118</v>
      </c>
      <c r="C41" s="15" t="s">
        <v>119</v>
      </c>
      <c r="D41" s="15" t="s">
        <v>120</v>
      </c>
      <c r="E41" s="15" t="s">
        <v>407</v>
      </c>
      <c r="F41" s="15" t="s">
        <v>4</v>
      </c>
      <c r="G41" s="15" t="s">
        <v>121</v>
      </c>
      <c r="H41" s="21">
        <v>4500</v>
      </c>
      <c r="I41" s="34" t="s">
        <v>4</v>
      </c>
      <c r="J41" s="22">
        <v>50</v>
      </c>
      <c r="K41" s="17" t="s">
        <v>4</v>
      </c>
      <c r="O41" t="str">
        <f>"INSERT INTO s_emp VALUES('"&amp;A41&amp;"', '"&amp;B41&amp;"', '"&amp;C41&amp;"', '"&amp;D41&amp;"', '"&amp;E41&amp;"', '"&amp;F41&amp;"', '"&amp;G41&amp;"', "&amp;H41&amp;", "&amp;I41&amp;", '"&amp;J41&amp;"', "&amp;K41&amp;")"</f>
        <v>INSERT INTO s_emp VALUES('1', 'Martin', 'Carmen', 'martincu', '1990-03-03', 'NULL', 'President', 4500, NULL, '50', NULL)</v>
      </c>
    </row>
    <row r="42" spans="1:15" x14ac:dyDescent="0.3">
      <c r="A42" s="23">
        <v>2</v>
      </c>
      <c r="B42" s="17" t="s">
        <v>154</v>
      </c>
      <c r="C42" s="17" t="s">
        <v>155</v>
      </c>
      <c r="D42" s="17" t="s">
        <v>156</v>
      </c>
      <c r="E42" s="17" t="s">
        <v>418</v>
      </c>
      <c r="F42" s="17" t="s">
        <v>4</v>
      </c>
      <c r="G42" s="17" t="s">
        <v>157</v>
      </c>
      <c r="H42" s="24">
        <v>2450</v>
      </c>
      <c r="I42" s="33" t="s">
        <v>4</v>
      </c>
      <c r="J42" s="25">
        <v>41</v>
      </c>
      <c r="K42" s="24">
        <v>1</v>
      </c>
      <c r="O42" t="str">
        <f t="shared" ref="O42:O65" si="2">"INSERT INTO s_emp VALUES('"&amp;A42&amp;"', '"&amp;B42&amp;"', '"&amp;C42&amp;"', '"&amp;D42&amp;"', '"&amp;E42&amp;"', '"&amp;F42&amp;"', '"&amp;G42&amp;"', "&amp;H42&amp;", "&amp;I42&amp;", '"&amp;J42&amp;"', "&amp;K42&amp;")"</f>
        <v>INSERT INTO s_emp VALUES('2', 'Smith', 'Doris', 'smithdj', '1990-03-08', 'NULL', 'VP, Operations', 2450, NULL, '41', 1)</v>
      </c>
    </row>
    <row r="43" spans="1:15" x14ac:dyDescent="0.3">
      <c r="A43" s="23">
        <v>3</v>
      </c>
      <c r="B43" s="17" t="s">
        <v>175</v>
      </c>
      <c r="C43" s="17" t="s">
        <v>176</v>
      </c>
      <c r="D43" s="17" t="s">
        <v>177</v>
      </c>
      <c r="E43" s="17" t="s">
        <v>425</v>
      </c>
      <c r="F43" s="17" t="s">
        <v>4</v>
      </c>
      <c r="G43" s="17" t="s">
        <v>178</v>
      </c>
      <c r="H43" s="24">
        <v>2400</v>
      </c>
      <c r="I43" s="33" t="s">
        <v>4</v>
      </c>
      <c r="J43" s="25">
        <v>31</v>
      </c>
      <c r="K43" s="24">
        <v>1</v>
      </c>
      <c r="O43" t="str">
        <f t="shared" si="2"/>
        <v>INSERT INTO s_emp VALUES('3', 'Norton', 'Michael', 'nortonma', '1991-06-17 ', 'NULL', 'VP, Sales', 2400, NULL, '31', 1)</v>
      </c>
    </row>
    <row r="44" spans="1:15" x14ac:dyDescent="0.3">
      <c r="A44" s="23">
        <v>4</v>
      </c>
      <c r="B44" s="17" t="s">
        <v>179</v>
      </c>
      <c r="C44" s="17" t="s">
        <v>180</v>
      </c>
      <c r="D44" s="17" t="s">
        <v>181</v>
      </c>
      <c r="E44" s="17" t="s">
        <v>426</v>
      </c>
      <c r="F44" s="17" t="s">
        <v>4</v>
      </c>
      <c r="G44" s="17" t="s">
        <v>182</v>
      </c>
      <c r="H44" s="24">
        <v>2450</v>
      </c>
      <c r="I44" s="33" t="s">
        <v>4</v>
      </c>
      <c r="J44" s="25">
        <v>10</v>
      </c>
      <c r="K44" s="24">
        <v>1</v>
      </c>
      <c r="O44" t="str">
        <f t="shared" si="2"/>
        <v>INSERT INTO s_emp VALUES('4', 'Quentin', 'Mark', 'quentiml', '1990-04-07', 'NULL', 'VP, Finance', 2450, NULL, '10', 1)</v>
      </c>
    </row>
    <row r="45" spans="1:15" x14ac:dyDescent="0.3">
      <c r="A45" s="23">
        <v>5</v>
      </c>
      <c r="B45" s="17" t="s">
        <v>183</v>
      </c>
      <c r="C45" s="17" t="s">
        <v>184</v>
      </c>
      <c r="D45" s="17" t="s">
        <v>185</v>
      </c>
      <c r="E45" s="17" t="s">
        <v>427</v>
      </c>
      <c r="F45" s="17" t="s">
        <v>4</v>
      </c>
      <c r="G45" s="17" t="s">
        <v>186</v>
      </c>
      <c r="H45" s="24">
        <v>2550</v>
      </c>
      <c r="I45" s="33" t="s">
        <v>4</v>
      </c>
      <c r="J45" s="25">
        <v>50</v>
      </c>
      <c r="K45" s="24">
        <v>1</v>
      </c>
      <c r="O45" t="str">
        <f t="shared" si="2"/>
        <v>INSERT INTO s_emp VALUES('5', 'Roper', 'Joseph', 'roperjm', '1990-03-04 ', 'NULL', 'VP, Administration', 2550, NULL, '50', 1)</v>
      </c>
    </row>
    <row r="46" spans="1:15" x14ac:dyDescent="0.3">
      <c r="A46" s="23">
        <v>6</v>
      </c>
      <c r="B46" s="17" t="s">
        <v>143</v>
      </c>
      <c r="C46" s="17" t="s">
        <v>187</v>
      </c>
      <c r="D46" s="17" t="s">
        <v>188</v>
      </c>
      <c r="E46" s="17" t="s">
        <v>428</v>
      </c>
      <c r="F46" s="17" t="s">
        <v>4</v>
      </c>
      <c r="G46" s="17" t="s">
        <v>125</v>
      </c>
      <c r="H46" s="24">
        <v>1600</v>
      </c>
      <c r="I46" s="33" t="s">
        <v>4</v>
      </c>
      <c r="J46" s="25">
        <v>41</v>
      </c>
      <c r="K46" s="24">
        <v>2</v>
      </c>
      <c r="O46" t="str">
        <f t="shared" si="2"/>
        <v>INSERT INTO s_emp VALUES('6', 'Brown', 'Molly', 'brownmr', '1991-01-18', 'NULL', 'Warehouse Manager', 1600, NULL, '41', 2)</v>
      </c>
    </row>
    <row r="47" spans="1:15" x14ac:dyDescent="0.3">
      <c r="A47" s="23">
        <v>7</v>
      </c>
      <c r="B47" s="17" t="s">
        <v>189</v>
      </c>
      <c r="C47" s="17" t="s">
        <v>190</v>
      </c>
      <c r="D47" s="17" t="s">
        <v>191</v>
      </c>
      <c r="E47" s="17" t="s">
        <v>429</v>
      </c>
      <c r="F47" s="17" t="s">
        <v>4</v>
      </c>
      <c r="G47" s="17" t="s">
        <v>125</v>
      </c>
      <c r="H47" s="24">
        <v>1650</v>
      </c>
      <c r="I47" s="33" t="s">
        <v>4</v>
      </c>
      <c r="J47" s="25">
        <v>42</v>
      </c>
      <c r="K47" s="24">
        <v>2</v>
      </c>
      <c r="O47" t="str">
        <f t="shared" si="2"/>
        <v>INSERT INTO s_emp VALUES('7', 'Hawkins', 'Roberta', 'hawkinrt', '1990-05-14 ', 'NULL', 'Warehouse Manager', 1650, NULL, '42', 2)</v>
      </c>
    </row>
    <row r="48" spans="1:15" x14ac:dyDescent="0.3">
      <c r="A48" s="23">
        <v>8</v>
      </c>
      <c r="B48" s="17" t="s">
        <v>192</v>
      </c>
      <c r="C48" s="17" t="s">
        <v>193</v>
      </c>
      <c r="D48" s="17" t="s">
        <v>194</v>
      </c>
      <c r="E48" s="17" t="s">
        <v>430</v>
      </c>
      <c r="F48" s="17" t="s">
        <v>4</v>
      </c>
      <c r="G48" s="17" t="s">
        <v>125</v>
      </c>
      <c r="H48" s="24">
        <v>1500</v>
      </c>
      <c r="I48" s="33" t="s">
        <v>4</v>
      </c>
      <c r="J48" s="25">
        <v>43</v>
      </c>
      <c r="K48" s="24">
        <v>2</v>
      </c>
      <c r="O48" t="str">
        <f t="shared" si="2"/>
        <v>INSERT INTO s_emp VALUES('8', 'Burns', 'Ben', 'burnsba', '1990-04-07 ', 'NULL', 'Warehouse Manager', 1500, NULL, '43', 2)</v>
      </c>
    </row>
    <row r="49" spans="1:15" x14ac:dyDescent="0.3">
      <c r="A49" s="23">
        <v>9</v>
      </c>
      <c r="B49" s="29" t="s">
        <v>195</v>
      </c>
      <c r="C49" s="29" t="s">
        <v>196</v>
      </c>
      <c r="D49" s="29" t="s">
        <v>197</v>
      </c>
      <c r="E49" s="29" t="s">
        <v>431</v>
      </c>
      <c r="F49" s="29" t="s">
        <v>4</v>
      </c>
      <c r="G49" s="29" t="s">
        <v>125</v>
      </c>
      <c r="H49" s="30">
        <v>1700</v>
      </c>
      <c r="I49" s="35" t="s">
        <v>4</v>
      </c>
      <c r="J49" s="25">
        <v>44</v>
      </c>
      <c r="K49" s="24">
        <v>2</v>
      </c>
      <c r="O49" t="str">
        <f t="shared" si="2"/>
        <v>INSERT INTO s_emp VALUES('9', 'Catskill', 'Antoinette', 'catskiaw', '1992-02-09 ', 'NULL', 'Warehouse Manager', 1700, NULL, '44', 2)</v>
      </c>
    </row>
    <row r="50" spans="1:15" x14ac:dyDescent="0.3">
      <c r="A50" s="23">
        <v>10</v>
      </c>
      <c r="B50" s="17" t="s">
        <v>122</v>
      </c>
      <c r="C50" s="17" t="s">
        <v>123</v>
      </c>
      <c r="D50" s="17" t="s">
        <v>124</v>
      </c>
      <c r="E50" s="17" t="s">
        <v>408</v>
      </c>
      <c r="F50" s="17" t="s">
        <v>4</v>
      </c>
      <c r="G50" s="17" t="s">
        <v>125</v>
      </c>
      <c r="H50" s="24">
        <v>1507</v>
      </c>
      <c r="I50" s="33" t="s">
        <v>4</v>
      </c>
      <c r="J50" s="25">
        <v>45</v>
      </c>
      <c r="K50" s="24">
        <v>2</v>
      </c>
      <c r="O50" t="str">
        <f t="shared" si="2"/>
        <v>INSERT INTO s_emp VALUES('10', 'Jackson', 'Marta', 'jacksomt', '1991-02-27 ', 'NULL', 'Warehouse Manager', 1507, NULL, '45', 2)</v>
      </c>
    </row>
    <row r="51" spans="1:15" x14ac:dyDescent="0.3">
      <c r="A51" s="23">
        <v>11</v>
      </c>
      <c r="B51" s="17" t="s">
        <v>126</v>
      </c>
      <c r="C51" s="17" t="s">
        <v>127</v>
      </c>
      <c r="D51" s="17" t="s">
        <v>128</v>
      </c>
      <c r="E51" s="17" t="s">
        <v>409</v>
      </c>
      <c r="F51" s="17" t="s">
        <v>4</v>
      </c>
      <c r="G51" s="17" t="s">
        <v>129</v>
      </c>
      <c r="H51" s="24">
        <v>1400</v>
      </c>
      <c r="I51" s="33" t="s">
        <v>404</v>
      </c>
      <c r="J51" s="25">
        <v>31</v>
      </c>
      <c r="K51" s="24">
        <v>3</v>
      </c>
      <c r="O51" t="str">
        <f t="shared" si="2"/>
        <v>INSERT INTO s_emp VALUES('11', 'Henderson', 'Colin', 'hendercs', '1990-05-14', 'NULL', 'Sales Representative', 1400, 10.00, '31', 3)</v>
      </c>
    </row>
    <row r="52" spans="1:15" x14ac:dyDescent="0.3">
      <c r="A52" s="23">
        <v>12</v>
      </c>
      <c r="B52" s="17" t="s">
        <v>130</v>
      </c>
      <c r="C52" s="17" t="s">
        <v>131</v>
      </c>
      <c r="D52" s="17" t="s">
        <v>132</v>
      </c>
      <c r="E52" s="17" t="s">
        <v>410</v>
      </c>
      <c r="F52" s="17" t="s">
        <v>4</v>
      </c>
      <c r="G52" s="17" t="s">
        <v>129</v>
      </c>
      <c r="H52" s="24">
        <v>1490</v>
      </c>
      <c r="I52" s="33" t="s">
        <v>405</v>
      </c>
      <c r="J52" s="25">
        <v>32</v>
      </c>
      <c r="K52" s="24">
        <v>3</v>
      </c>
      <c r="O52" t="str">
        <f t="shared" si="2"/>
        <v>INSERT INTO s_emp VALUES('12', 'Gilson', 'Sam', 'gilsonsj', '1992-01-18 ', 'NULL', 'Sales Representative', 1490, 12.50, '32', 3)</v>
      </c>
    </row>
    <row r="53" spans="1:15" x14ac:dyDescent="0.3">
      <c r="A53" s="23">
        <v>13</v>
      </c>
      <c r="B53" s="17" t="s">
        <v>133</v>
      </c>
      <c r="C53" s="17" t="s">
        <v>134</v>
      </c>
      <c r="D53" s="17" t="s">
        <v>135</v>
      </c>
      <c r="E53" s="17" t="s">
        <v>411</v>
      </c>
      <c r="F53" s="17" t="s">
        <v>4</v>
      </c>
      <c r="G53" s="17" t="s">
        <v>129</v>
      </c>
      <c r="H53" s="24">
        <v>1515</v>
      </c>
      <c r="I53" s="33" t="s">
        <v>404</v>
      </c>
      <c r="J53" s="25">
        <v>33</v>
      </c>
      <c r="K53" s="24">
        <v>3</v>
      </c>
      <c r="O53" t="str">
        <f t="shared" si="2"/>
        <v>INSERT INTO s_emp VALUES('13', 'Sanders', 'Jason', 'sanderjk', '1991-02-18 ', 'NULL', 'Sales Representative', 1515, 10.00, '33', 3)</v>
      </c>
    </row>
    <row r="54" spans="1:15" x14ac:dyDescent="0.3">
      <c r="A54" s="23">
        <v>14</v>
      </c>
      <c r="B54" s="17" t="s">
        <v>136</v>
      </c>
      <c r="C54" s="17" t="s">
        <v>137</v>
      </c>
      <c r="D54" s="17" t="s">
        <v>138</v>
      </c>
      <c r="E54" s="17" t="s">
        <v>412</v>
      </c>
      <c r="F54" s="17" t="s">
        <v>4</v>
      </c>
      <c r="G54" s="17" t="s">
        <v>129</v>
      </c>
      <c r="H54" s="24">
        <v>1450</v>
      </c>
      <c r="I54" s="33" t="s">
        <v>406</v>
      </c>
      <c r="J54" s="25">
        <v>35</v>
      </c>
      <c r="K54" s="24">
        <v>3</v>
      </c>
      <c r="O54" t="str">
        <f t="shared" si="2"/>
        <v>INSERT INTO s_emp VALUES('14', 'Dameron', 'Andre', 'dameroap', '1991-10-09 ', 'NULL', 'Sales Representative', 1450, 17.50, '35', 3)</v>
      </c>
    </row>
    <row r="55" spans="1:15" x14ac:dyDescent="0.3">
      <c r="A55" s="23">
        <v>15</v>
      </c>
      <c r="B55" s="17" t="s">
        <v>139</v>
      </c>
      <c r="C55" s="17" t="s">
        <v>140</v>
      </c>
      <c r="D55" s="17" t="s">
        <v>141</v>
      </c>
      <c r="E55" s="17" t="s">
        <v>413</v>
      </c>
      <c r="F55" s="17" t="s">
        <v>4</v>
      </c>
      <c r="G55" s="17" t="s">
        <v>142</v>
      </c>
      <c r="H55" s="24">
        <v>1400</v>
      </c>
      <c r="I55" s="33" t="s">
        <v>4</v>
      </c>
      <c r="J55" s="25">
        <v>41</v>
      </c>
      <c r="K55" s="24">
        <v>6</v>
      </c>
      <c r="O55" t="str">
        <f t="shared" si="2"/>
        <v>INSERT INTO s_emp VALUES('15', 'Hardwick', 'Elaine', 'hardwiem', '1992-02-07 ', 'NULL', 'Stock Clerk', 1400, NULL, '41', 6)</v>
      </c>
    </row>
    <row r="56" spans="1:15" x14ac:dyDescent="0.3">
      <c r="A56" s="23">
        <v>16</v>
      </c>
      <c r="B56" s="17" t="s">
        <v>143</v>
      </c>
      <c r="C56" s="17" t="s">
        <v>144</v>
      </c>
      <c r="D56" s="17" t="s">
        <v>145</v>
      </c>
      <c r="E56" s="17" t="s">
        <v>414</v>
      </c>
      <c r="F56" s="17" t="s">
        <v>4</v>
      </c>
      <c r="G56" s="17" t="s">
        <v>142</v>
      </c>
      <c r="H56" s="24">
        <v>940</v>
      </c>
      <c r="I56" s="33" t="s">
        <v>4</v>
      </c>
      <c r="J56" s="25">
        <v>41</v>
      </c>
      <c r="K56" s="24">
        <v>6</v>
      </c>
      <c r="O56" t="str">
        <f t="shared" si="2"/>
        <v>INSERT INTO s_emp VALUES('16', 'Brown', 'George', 'browngw', '1990-03-08 ', 'NULL', 'Stock Clerk', 940, NULL, '41', 6)</v>
      </c>
    </row>
    <row r="57" spans="1:15" x14ac:dyDescent="0.3">
      <c r="A57" s="23">
        <v>17</v>
      </c>
      <c r="B57" s="17" t="s">
        <v>22</v>
      </c>
      <c r="C57" s="17" t="s">
        <v>146</v>
      </c>
      <c r="D57" s="17" t="s">
        <v>147</v>
      </c>
      <c r="E57" s="17" t="s">
        <v>415</v>
      </c>
      <c r="F57" s="17" t="s">
        <v>4</v>
      </c>
      <c r="G57" s="17" t="s">
        <v>142</v>
      </c>
      <c r="H57" s="24">
        <v>1200</v>
      </c>
      <c r="I57" s="33" t="s">
        <v>4</v>
      </c>
      <c r="J57" s="25">
        <v>42</v>
      </c>
      <c r="K57" s="24">
        <v>7</v>
      </c>
      <c r="O57" t="str">
        <f t="shared" si="2"/>
        <v>INSERT INTO s_emp VALUES('17', 'Washington', 'Thomas', 'washintl', '1991-02-09 ', 'NULL', 'Stock Clerk', 1200, NULL, '42', 7)</v>
      </c>
    </row>
    <row r="58" spans="1:15" x14ac:dyDescent="0.3">
      <c r="A58" s="23">
        <v>18</v>
      </c>
      <c r="B58" s="17" t="s">
        <v>148</v>
      </c>
      <c r="C58" s="17" t="s">
        <v>149</v>
      </c>
      <c r="D58" s="17" t="s">
        <v>150</v>
      </c>
      <c r="E58" s="17" t="s">
        <v>416</v>
      </c>
      <c r="F58" s="17" t="s">
        <v>4</v>
      </c>
      <c r="G58" s="17" t="s">
        <v>142</v>
      </c>
      <c r="H58" s="24">
        <v>795</v>
      </c>
      <c r="I58" s="33" t="s">
        <v>4</v>
      </c>
      <c r="J58" s="25">
        <v>42</v>
      </c>
      <c r="K58" s="24">
        <v>7</v>
      </c>
      <c r="O58" t="str">
        <f t="shared" si="2"/>
        <v>INSERT INTO s_emp VALUES('18', 'Patterson', 'Donald', 'patterdv', '1991-08-06 ', 'NULL', 'Stock Clerk', 795, NULL, '42', 7)</v>
      </c>
    </row>
    <row r="59" spans="1:15" x14ac:dyDescent="0.3">
      <c r="A59" s="23">
        <v>19</v>
      </c>
      <c r="B59" s="17" t="s">
        <v>151</v>
      </c>
      <c r="C59" s="17" t="s">
        <v>152</v>
      </c>
      <c r="D59" s="17" t="s">
        <v>153</v>
      </c>
      <c r="E59" s="17" t="s">
        <v>417</v>
      </c>
      <c r="F59" s="17" t="s">
        <v>4</v>
      </c>
      <c r="G59" s="17" t="s">
        <v>142</v>
      </c>
      <c r="H59" s="24">
        <v>850</v>
      </c>
      <c r="I59" s="33" t="s">
        <v>4</v>
      </c>
      <c r="J59" s="25">
        <v>43</v>
      </c>
      <c r="K59" s="24">
        <v>8</v>
      </c>
      <c r="O59" t="str">
        <f t="shared" si="2"/>
        <v>INSERT INTO s_emp VALUES('19', 'Bell', 'Alexander', 'bellag', '1991-05-26', 'NULL', 'Stock Clerk', 850, NULL, '43', 8)</v>
      </c>
    </row>
    <row r="60" spans="1:15" x14ac:dyDescent="0.3">
      <c r="A60" s="23">
        <v>20</v>
      </c>
      <c r="B60" s="17" t="s">
        <v>158</v>
      </c>
      <c r="C60" s="17" t="s">
        <v>159</v>
      </c>
      <c r="D60" s="17" t="s">
        <v>160</v>
      </c>
      <c r="E60" s="17" t="s">
        <v>419</v>
      </c>
      <c r="F60" s="17" t="s">
        <v>4</v>
      </c>
      <c r="G60" s="17" t="s">
        <v>142</v>
      </c>
      <c r="H60" s="24">
        <v>800</v>
      </c>
      <c r="I60" s="33" t="s">
        <v>4</v>
      </c>
      <c r="J60" s="25">
        <v>44</v>
      </c>
      <c r="K60" s="24">
        <v>9</v>
      </c>
      <c r="O60" t="str">
        <f t="shared" si="2"/>
        <v>INSERT INTO s_emp VALUES('20', 'Gantos', 'Eddie', 'gantosej', '1990-11-30', 'NULL', 'Stock Clerk', 800, NULL, '44', 9)</v>
      </c>
    </row>
    <row r="61" spans="1:15" x14ac:dyDescent="0.3">
      <c r="A61" s="23">
        <v>21</v>
      </c>
      <c r="B61" s="17" t="s">
        <v>161</v>
      </c>
      <c r="C61" s="17" t="s">
        <v>162</v>
      </c>
      <c r="D61" s="17" t="s">
        <v>163</v>
      </c>
      <c r="E61" s="17" t="s">
        <v>420</v>
      </c>
      <c r="F61" s="17" t="s">
        <v>4</v>
      </c>
      <c r="G61" s="17" t="s">
        <v>142</v>
      </c>
      <c r="H61" s="24">
        <v>860</v>
      </c>
      <c r="I61" s="33" t="s">
        <v>4</v>
      </c>
      <c r="J61" s="25">
        <v>45</v>
      </c>
      <c r="K61" s="24">
        <v>10</v>
      </c>
      <c r="O61" t="str">
        <f t="shared" si="2"/>
        <v>INSERT INTO s_emp VALUES('21', 'Stephenson', 'Blaine', 'stephebs', '1991-03-17', 'NULL', 'Stock Clerk', 860, NULL, '45', 10)</v>
      </c>
    </row>
    <row r="62" spans="1:15" x14ac:dyDescent="0.3">
      <c r="A62" s="23">
        <v>22</v>
      </c>
      <c r="B62" s="17" t="s">
        <v>164</v>
      </c>
      <c r="C62" s="17" t="s">
        <v>159</v>
      </c>
      <c r="D62" s="17" t="s">
        <v>165</v>
      </c>
      <c r="E62" s="17" t="s">
        <v>421</v>
      </c>
      <c r="F62" s="17" t="s">
        <v>4</v>
      </c>
      <c r="G62" s="17" t="s">
        <v>142</v>
      </c>
      <c r="H62" s="24">
        <v>800</v>
      </c>
      <c r="I62" s="33" t="s">
        <v>4</v>
      </c>
      <c r="J62" s="25">
        <v>44</v>
      </c>
      <c r="K62" s="24">
        <v>9</v>
      </c>
      <c r="O62" t="str">
        <f t="shared" si="2"/>
        <v>INSERT INTO s_emp VALUES('22', 'Chester', 'Eddie', 'chesteek', '1990-11-30 ', 'NULL', 'Stock Clerk', 800, NULL, '44', 9)</v>
      </c>
    </row>
    <row r="63" spans="1:15" x14ac:dyDescent="0.3">
      <c r="A63" s="23">
        <v>23</v>
      </c>
      <c r="B63" s="29" t="s">
        <v>166</v>
      </c>
      <c r="C63" s="29" t="s">
        <v>167</v>
      </c>
      <c r="D63" s="29" t="s">
        <v>168</v>
      </c>
      <c r="E63" s="29" t="s">
        <v>422</v>
      </c>
      <c r="F63" s="29" t="s">
        <v>4</v>
      </c>
      <c r="G63" s="29" t="s">
        <v>142</v>
      </c>
      <c r="H63" s="30">
        <v>795</v>
      </c>
      <c r="I63" s="35" t="s">
        <v>4</v>
      </c>
      <c r="J63" s="25">
        <v>34</v>
      </c>
      <c r="K63" s="30">
        <v>9</v>
      </c>
      <c r="O63" t="str">
        <f t="shared" si="2"/>
        <v>INSERT INTO s_emp VALUES('23', 'Pearl', 'Roger', 'pearlrg', '1990-10-17', 'NULL', 'Stock Clerk', 795, NULL, '34', 9)</v>
      </c>
    </row>
    <row r="64" spans="1:15" x14ac:dyDescent="0.3">
      <c r="A64" s="23">
        <v>24</v>
      </c>
      <c r="B64" s="17" t="s">
        <v>169</v>
      </c>
      <c r="C64" s="17" t="s">
        <v>170</v>
      </c>
      <c r="D64" s="17" t="s">
        <v>171</v>
      </c>
      <c r="E64" s="17" t="s">
        <v>423</v>
      </c>
      <c r="F64" s="17" t="s">
        <v>4</v>
      </c>
      <c r="G64" s="17" t="s">
        <v>142</v>
      </c>
      <c r="H64" s="24">
        <v>860</v>
      </c>
      <c r="I64" s="33" t="s">
        <v>4</v>
      </c>
      <c r="J64" s="25">
        <v>45</v>
      </c>
      <c r="K64" s="24">
        <v>7</v>
      </c>
      <c r="O64" t="str">
        <f t="shared" si="2"/>
        <v>INSERT INTO s_emp VALUES('24', 'Dancer', 'Bonnie', 'dancerbw', '1991-03-17 ', 'NULL', 'Stock Clerk', 860, NULL, '45', 7)</v>
      </c>
    </row>
    <row r="65" spans="1:15" x14ac:dyDescent="0.3">
      <c r="A65" s="26">
        <v>25</v>
      </c>
      <c r="B65" s="19" t="s">
        <v>172</v>
      </c>
      <c r="C65" s="19" t="s">
        <v>173</v>
      </c>
      <c r="D65" s="19" t="s">
        <v>174</v>
      </c>
      <c r="E65" s="19" t="s">
        <v>424</v>
      </c>
      <c r="F65" s="19" t="s">
        <v>4</v>
      </c>
      <c r="G65" s="19" t="s">
        <v>142</v>
      </c>
      <c r="H65" s="27">
        <v>1100</v>
      </c>
      <c r="I65" s="36" t="s">
        <v>4</v>
      </c>
      <c r="J65" s="28">
        <v>45</v>
      </c>
      <c r="K65" s="24">
        <v>8</v>
      </c>
      <c r="O65" t="str">
        <f t="shared" si="2"/>
        <v>INSERT INTO s_emp VALUES('25', 'Schmitt', 'Sandra', 'schmitss', '1991-05-09 ', 'NULL', 'Stock Clerk', 1100, NULL, '45', 8)</v>
      </c>
    </row>
    <row r="66" spans="1:15" x14ac:dyDescent="0.3">
      <c r="A66" s="1" t="s">
        <v>198</v>
      </c>
    </row>
    <row r="67" spans="1:15" x14ac:dyDescent="0.3">
      <c r="A67" s="2">
        <v>10011</v>
      </c>
      <c r="B67" s="3">
        <v>101</v>
      </c>
      <c r="C67" s="3">
        <v>650</v>
      </c>
      <c r="D67" s="3">
        <v>625</v>
      </c>
      <c r="E67" s="3">
        <v>1100</v>
      </c>
      <c r="F67" s="3" t="s">
        <v>4</v>
      </c>
      <c r="G67" s="11" t="s">
        <v>4</v>
      </c>
      <c r="O67" t="str">
        <f>"INSERT INTO s_inventory VALUES('"&amp;A67&amp;"','"&amp;B67&amp;"',"&amp;C67&amp;","&amp;D67&amp;","&amp;E67&amp;",'"&amp;F67&amp;"',"&amp;IF(G67="NULL","NULL","'"&amp;G67&amp;"'")&amp;");"</f>
        <v>INSERT INTO s_inventory VALUES('10011','101',650,625,1100,'NULL',NULL);</v>
      </c>
    </row>
    <row r="68" spans="1:15" x14ac:dyDescent="0.3">
      <c r="A68" s="5">
        <v>10012</v>
      </c>
      <c r="B68">
        <v>101</v>
      </c>
      <c r="C68">
        <v>600</v>
      </c>
      <c r="D68">
        <v>560</v>
      </c>
      <c r="E68">
        <v>1000</v>
      </c>
      <c r="F68" t="s">
        <v>4</v>
      </c>
      <c r="G68" s="12" t="s">
        <v>4</v>
      </c>
      <c r="O68" t="str">
        <f t="shared" ref="O68:O131" si="3">"INSERT INTO s_inventory VALUES('"&amp;A68&amp;"','"&amp;B68&amp;"',"&amp;C68&amp;","&amp;D68&amp;","&amp;E68&amp;",'"&amp;F68&amp;"',"&amp;IF(G68="NULL","NULL","'"&amp;G68&amp;"'")&amp;");"</f>
        <v>INSERT INTO s_inventory VALUES('10012','101',600,560,1000,'NULL',NULL);</v>
      </c>
    </row>
    <row r="69" spans="1:15" x14ac:dyDescent="0.3">
      <c r="A69" s="5">
        <v>10012</v>
      </c>
      <c r="B69">
        <v>10501</v>
      </c>
      <c r="C69">
        <v>300</v>
      </c>
      <c r="D69">
        <v>300</v>
      </c>
      <c r="E69">
        <v>525</v>
      </c>
      <c r="F69" t="s">
        <v>4</v>
      </c>
      <c r="G69" s="12" t="s">
        <v>4</v>
      </c>
      <c r="O69" t="str">
        <f t="shared" si="3"/>
        <v>INSERT INTO s_inventory VALUES('10012','10501',300,300,525,'NULL',NULL);</v>
      </c>
    </row>
    <row r="70" spans="1:15" x14ac:dyDescent="0.3">
      <c r="A70" s="5">
        <v>10013</v>
      </c>
      <c r="B70">
        <v>101</v>
      </c>
      <c r="C70">
        <v>400</v>
      </c>
      <c r="D70">
        <v>400</v>
      </c>
      <c r="E70">
        <v>700</v>
      </c>
      <c r="F70" t="s">
        <v>4</v>
      </c>
      <c r="G70" s="12" t="s">
        <v>4</v>
      </c>
      <c r="O70" t="str">
        <f t="shared" si="3"/>
        <v>INSERT INTO s_inventory VALUES('10013','101',400,400,700,'NULL',NULL);</v>
      </c>
    </row>
    <row r="71" spans="1:15" x14ac:dyDescent="0.3">
      <c r="A71" s="5">
        <v>10013</v>
      </c>
      <c r="B71">
        <v>10501</v>
      </c>
      <c r="C71">
        <v>314</v>
      </c>
      <c r="D71">
        <v>300</v>
      </c>
      <c r="E71">
        <v>525</v>
      </c>
      <c r="F71" t="s">
        <v>4</v>
      </c>
      <c r="G71" s="12" t="s">
        <v>4</v>
      </c>
      <c r="O71" t="str">
        <f t="shared" si="3"/>
        <v>INSERT INTO s_inventory VALUES('10013','10501',314,300,525,'NULL',NULL);</v>
      </c>
    </row>
    <row r="72" spans="1:15" x14ac:dyDescent="0.3">
      <c r="A72" s="5">
        <v>10021</v>
      </c>
      <c r="B72">
        <v>101</v>
      </c>
      <c r="C72">
        <v>500</v>
      </c>
      <c r="D72">
        <v>425</v>
      </c>
      <c r="E72">
        <v>740</v>
      </c>
      <c r="F72" t="s">
        <v>4</v>
      </c>
      <c r="G72" s="12" t="s">
        <v>4</v>
      </c>
      <c r="O72" t="str">
        <f t="shared" si="3"/>
        <v>INSERT INTO s_inventory VALUES('10021','101',500,425,740,'NULL',NULL);</v>
      </c>
    </row>
    <row r="73" spans="1:15" x14ac:dyDescent="0.3">
      <c r="A73" s="5">
        <v>10022</v>
      </c>
      <c r="B73">
        <v>101</v>
      </c>
      <c r="C73">
        <v>300</v>
      </c>
      <c r="D73">
        <v>200</v>
      </c>
      <c r="E73">
        <v>350</v>
      </c>
      <c r="F73" t="s">
        <v>4</v>
      </c>
      <c r="G73" s="12" t="s">
        <v>4</v>
      </c>
      <c r="O73" t="str">
        <f t="shared" si="3"/>
        <v>INSERT INTO s_inventory VALUES('10022','101',300,200,350,'NULL',NULL);</v>
      </c>
    </row>
    <row r="74" spans="1:15" x14ac:dyDescent="0.3">
      <c r="A74" s="5">
        <v>10022</v>
      </c>
      <c r="B74">
        <v>10501</v>
      </c>
      <c r="C74">
        <v>502</v>
      </c>
      <c r="D74">
        <v>300</v>
      </c>
      <c r="E74">
        <v>525</v>
      </c>
      <c r="F74" t="s">
        <v>4</v>
      </c>
      <c r="G74" s="12" t="s">
        <v>4</v>
      </c>
      <c r="O74" t="str">
        <f t="shared" si="3"/>
        <v>INSERT INTO s_inventory VALUES('10022','10501',502,300,525,'NULL',NULL);</v>
      </c>
    </row>
    <row r="75" spans="1:15" x14ac:dyDescent="0.3">
      <c r="A75" s="5">
        <v>10023</v>
      </c>
      <c r="B75">
        <v>101</v>
      </c>
      <c r="C75">
        <v>400</v>
      </c>
      <c r="D75">
        <v>300</v>
      </c>
      <c r="E75">
        <v>525</v>
      </c>
      <c r="F75" t="s">
        <v>4</v>
      </c>
      <c r="G75" s="12" t="s">
        <v>4</v>
      </c>
      <c r="O75" t="str">
        <f t="shared" si="3"/>
        <v>INSERT INTO s_inventory VALUES('10023','101',400,300,525,'NULL',NULL);</v>
      </c>
    </row>
    <row r="76" spans="1:15" x14ac:dyDescent="0.3">
      <c r="A76" s="5">
        <v>10023</v>
      </c>
      <c r="B76">
        <v>10501</v>
      </c>
      <c r="C76">
        <v>500</v>
      </c>
      <c r="D76">
        <v>300</v>
      </c>
      <c r="E76">
        <v>525</v>
      </c>
      <c r="F76" t="s">
        <v>4</v>
      </c>
      <c r="G76" s="12" t="s">
        <v>4</v>
      </c>
      <c r="O76" t="str">
        <f t="shared" si="3"/>
        <v>INSERT INTO s_inventory VALUES('10023','10501',500,300,525,'NULL',NULL);</v>
      </c>
    </row>
    <row r="77" spans="1:15" x14ac:dyDescent="0.3">
      <c r="A77" s="5">
        <v>20106</v>
      </c>
      <c r="B77">
        <v>101</v>
      </c>
      <c r="C77">
        <v>993</v>
      </c>
      <c r="D77">
        <v>625</v>
      </c>
      <c r="E77">
        <v>1000</v>
      </c>
      <c r="F77" t="s">
        <v>4</v>
      </c>
      <c r="G77" s="12" t="s">
        <v>4</v>
      </c>
      <c r="O77" t="str">
        <f t="shared" si="3"/>
        <v>INSERT INTO s_inventory VALUES('20106','101',993,625,1000,'NULL',NULL);</v>
      </c>
    </row>
    <row r="78" spans="1:15" x14ac:dyDescent="0.3">
      <c r="A78" s="5">
        <v>20106</v>
      </c>
      <c r="B78">
        <v>10501</v>
      </c>
      <c r="C78">
        <v>150</v>
      </c>
      <c r="D78">
        <v>100</v>
      </c>
      <c r="E78">
        <v>175</v>
      </c>
      <c r="F78" t="s">
        <v>4</v>
      </c>
      <c r="G78" s="12" t="s">
        <v>4</v>
      </c>
      <c r="O78" t="str">
        <f t="shared" si="3"/>
        <v>INSERT INTO s_inventory VALUES('20106','10501',150,100,175,'NULL',NULL);</v>
      </c>
    </row>
    <row r="79" spans="1:15" x14ac:dyDescent="0.3">
      <c r="A79" s="5">
        <v>20106</v>
      </c>
      <c r="B79">
        <v>201</v>
      </c>
      <c r="C79">
        <v>220</v>
      </c>
      <c r="D79">
        <v>150</v>
      </c>
      <c r="E79">
        <v>260</v>
      </c>
      <c r="F79" t="s">
        <v>4</v>
      </c>
      <c r="G79" s="12" t="s">
        <v>4</v>
      </c>
      <c r="O79" t="str">
        <f t="shared" si="3"/>
        <v>INSERT INTO s_inventory VALUES('20106','201',220,150,260,'NULL',NULL);</v>
      </c>
    </row>
    <row r="80" spans="1:15" x14ac:dyDescent="0.3">
      <c r="A80" s="5">
        <v>20108</v>
      </c>
      <c r="B80">
        <v>101</v>
      </c>
      <c r="C80">
        <v>700</v>
      </c>
      <c r="D80">
        <v>700</v>
      </c>
      <c r="E80">
        <v>1225</v>
      </c>
      <c r="F80" t="s">
        <v>4</v>
      </c>
      <c r="G80" s="12" t="s">
        <v>4</v>
      </c>
      <c r="O80" t="str">
        <f t="shared" si="3"/>
        <v>INSERT INTO s_inventory VALUES('20108','101',700,700,1225,'NULL',NULL);</v>
      </c>
    </row>
    <row r="81" spans="1:15" x14ac:dyDescent="0.3">
      <c r="A81" s="5">
        <v>20108</v>
      </c>
      <c r="B81">
        <v>10501</v>
      </c>
      <c r="C81">
        <v>222</v>
      </c>
      <c r="D81">
        <v>200</v>
      </c>
      <c r="E81">
        <v>350</v>
      </c>
      <c r="F81" t="s">
        <v>4</v>
      </c>
      <c r="G81" s="12" t="s">
        <v>4</v>
      </c>
      <c r="O81" t="str">
        <f t="shared" si="3"/>
        <v>INSERT INTO s_inventory VALUES('20108','10501',222,200,350,'NULL',NULL);</v>
      </c>
    </row>
    <row r="82" spans="1:15" x14ac:dyDescent="0.3">
      <c r="A82" s="5">
        <v>20108</v>
      </c>
      <c r="B82">
        <v>201</v>
      </c>
      <c r="C82">
        <v>166</v>
      </c>
      <c r="D82">
        <v>150</v>
      </c>
      <c r="E82">
        <v>260</v>
      </c>
      <c r="F82" t="s">
        <v>4</v>
      </c>
      <c r="G82" s="12" t="s">
        <v>4</v>
      </c>
      <c r="O82" t="str">
        <f t="shared" si="3"/>
        <v>INSERT INTO s_inventory VALUES('20108','201',166,150,260,'NULL',NULL);</v>
      </c>
    </row>
    <row r="83" spans="1:15" x14ac:dyDescent="0.3">
      <c r="A83" s="5">
        <v>20201</v>
      </c>
      <c r="B83">
        <v>101</v>
      </c>
      <c r="C83">
        <v>802</v>
      </c>
      <c r="D83">
        <v>800</v>
      </c>
      <c r="E83">
        <v>1400</v>
      </c>
      <c r="F83" t="s">
        <v>4</v>
      </c>
      <c r="G83" s="12" t="s">
        <v>4</v>
      </c>
      <c r="O83" t="str">
        <f t="shared" si="3"/>
        <v>INSERT INTO s_inventory VALUES('20201','101',802,800,1400,'NULL',NULL);</v>
      </c>
    </row>
    <row r="84" spans="1:15" x14ac:dyDescent="0.3">
      <c r="A84" s="5">
        <v>20201</v>
      </c>
      <c r="B84">
        <v>10501</v>
      </c>
      <c r="C84">
        <v>275</v>
      </c>
      <c r="D84">
        <v>200</v>
      </c>
      <c r="E84">
        <v>350</v>
      </c>
      <c r="F84" t="s">
        <v>4</v>
      </c>
      <c r="G84" s="12" t="s">
        <v>4</v>
      </c>
      <c r="O84" t="str">
        <f t="shared" si="3"/>
        <v>INSERT INTO s_inventory VALUES('20201','10501',275,200,350,'NULL',NULL);</v>
      </c>
    </row>
    <row r="85" spans="1:15" x14ac:dyDescent="0.3">
      <c r="A85" s="5">
        <v>20201</v>
      </c>
      <c r="B85">
        <v>201</v>
      </c>
      <c r="C85">
        <v>320</v>
      </c>
      <c r="D85">
        <v>200</v>
      </c>
      <c r="E85">
        <v>350</v>
      </c>
      <c r="F85" t="s">
        <v>4</v>
      </c>
      <c r="G85" s="12" t="s">
        <v>4</v>
      </c>
      <c r="O85" t="str">
        <f t="shared" si="3"/>
        <v>INSERT INTO s_inventory VALUES('20201','201',320,200,350,'NULL',NULL);</v>
      </c>
    </row>
    <row r="86" spans="1:15" x14ac:dyDescent="0.3">
      <c r="A86" s="5">
        <v>20510</v>
      </c>
      <c r="B86">
        <v>101</v>
      </c>
      <c r="C86">
        <v>1389</v>
      </c>
      <c r="D86">
        <v>850</v>
      </c>
      <c r="E86">
        <v>1400</v>
      </c>
      <c r="F86" t="s">
        <v>4</v>
      </c>
      <c r="G86" s="12" t="s">
        <v>4</v>
      </c>
      <c r="O86" t="str">
        <f t="shared" si="3"/>
        <v>INSERT INTO s_inventory VALUES('20510','101',1389,850,1400,'NULL',NULL);</v>
      </c>
    </row>
    <row r="87" spans="1:15" x14ac:dyDescent="0.3">
      <c r="A87" s="5">
        <v>20510</v>
      </c>
      <c r="B87">
        <v>10501</v>
      </c>
      <c r="C87">
        <v>57</v>
      </c>
      <c r="D87">
        <v>50</v>
      </c>
      <c r="E87">
        <v>87</v>
      </c>
      <c r="F87" t="s">
        <v>4</v>
      </c>
      <c r="G87" s="12" t="s">
        <v>4</v>
      </c>
      <c r="O87" t="str">
        <f t="shared" si="3"/>
        <v>INSERT INTO s_inventory VALUES('20510','10501',57,50,87,'NULL',NULL);</v>
      </c>
    </row>
    <row r="88" spans="1:15" x14ac:dyDescent="0.3">
      <c r="A88" s="5">
        <v>20510</v>
      </c>
      <c r="B88">
        <v>201</v>
      </c>
      <c r="C88">
        <v>175</v>
      </c>
      <c r="D88">
        <v>100</v>
      </c>
      <c r="E88">
        <v>175</v>
      </c>
      <c r="F88" t="s">
        <v>4</v>
      </c>
      <c r="G88" s="12" t="s">
        <v>4</v>
      </c>
      <c r="O88" t="str">
        <f t="shared" si="3"/>
        <v>INSERT INTO s_inventory VALUES('20510','201',175,100,175,'NULL',NULL);</v>
      </c>
    </row>
    <row r="89" spans="1:15" x14ac:dyDescent="0.3">
      <c r="A89" s="5">
        <v>20510</v>
      </c>
      <c r="B89">
        <v>301</v>
      </c>
      <c r="C89">
        <v>69</v>
      </c>
      <c r="D89">
        <v>40</v>
      </c>
      <c r="E89">
        <v>100</v>
      </c>
      <c r="F89" t="s">
        <v>4</v>
      </c>
      <c r="G89" s="12" t="s">
        <v>4</v>
      </c>
      <c r="O89" t="str">
        <f t="shared" si="3"/>
        <v>INSERT INTO s_inventory VALUES('20510','301',69,40,100,'NULL',NULL);</v>
      </c>
    </row>
    <row r="90" spans="1:15" x14ac:dyDescent="0.3">
      <c r="A90" s="5">
        <v>20510</v>
      </c>
      <c r="B90">
        <v>401</v>
      </c>
      <c r="C90">
        <v>88</v>
      </c>
      <c r="D90">
        <v>50</v>
      </c>
      <c r="E90">
        <v>100</v>
      </c>
      <c r="F90" t="s">
        <v>4</v>
      </c>
      <c r="G90" s="12" t="s">
        <v>4</v>
      </c>
      <c r="O90" t="str">
        <f t="shared" si="3"/>
        <v>INSERT INTO s_inventory VALUES('20510','401',88,50,100,'NULL',NULL);</v>
      </c>
    </row>
    <row r="91" spans="1:15" x14ac:dyDescent="0.3">
      <c r="A91" s="5">
        <v>20512</v>
      </c>
      <c r="B91">
        <v>101</v>
      </c>
      <c r="C91">
        <v>850</v>
      </c>
      <c r="D91">
        <v>850</v>
      </c>
      <c r="E91">
        <v>1450</v>
      </c>
      <c r="F91" t="s">
        <v>4</v>
      </c>
      <c r="G91" s="12" t="s">
        <v>4</v>
      </c>
      <c r="O91" t="str">
        <f t="shared" si="3"/>
        <v>INSERT INTO s_inventory VALUES('20512','101',850,850,1450,'NULL',NULL);</v>
      </c>
    </row>
    <row r="92" spans="1:15" x14ac:dyDescent="0.3">
      <c r="A92" s="5">
        <v>20512</v>
      </c>
      <c r="B92">
        <v>10501</v>
      </c>
      <c r="C92">
        <v>62</v>
      </c>
      <c r="D92">
        <v>50</v>
      </c>
      <c r="E92">
        <v>87</v>
      </c>
      <c r="F92" t="s">
        <v>4</v>
      </c>
      <c r="G92" s="12" t="s">
        <v>4</v>
      </c>
      <c r="O92" t="str">
        <f t="shared" si="3"/>
        <v>INSERT INTO s_inventory VALUES('20512','10501',62,50,87,'NULL',NULL);</v>
      </c>
    </row>
    <row r="93" spans="1:15" x14ac:dyDescent="0.3">
      <c r="A93" s="5">
        <v>20512</v>
      </c>
      <c r="B93">
        <v>201</v>
      </c>
      <c r="C93">
        <v>162</v>
      </c>
      <c r="D93">
        <v>100</v>
      </c>
      <c r="E93">
        <v>175</v>
      </c>
      <c r="F93" t="s">
        <v>4</v>
      </c>
      <c r="G93" s="12" t="s">
        <v>4</v>
      </c>
      <c r="O93" t="str">
        <f t="shared" si="3"/>
        <v>INSERT INTO s_inventory VALUES('20512','201',162,100,175,'NULL',NULL);</v>
      </c>
    </row>
    <row r="94" spans="1:15" x14ac:dyDescent="0.3">
      <c r="A94" s="5">
        <v>20512</v>
      </c>
      <c r="B94">
        <v>301</v>
      </c>
      <c r="C94">
        <v>28</v>
      </c>
      <c r="D94">
        <v>20</v>
      </c>
      <c r="E94">
        <v>50</v>
      </c>
      <c r="F94" t="s">
        <v>4</v>
      </c>
      <c r="G94" s="12" t="s">
        <v>4</v>
      </c>
      <c r="O94" t="str">
        <f t="shared" si="3"/>
        <v>INSERT INTO s_inventory VALUES('20512','301',28,20,50,'NULL',NULL);</v>
      </c>
    </row>
    <row r="95" spans="1:15" x14ac:dyDescent="0.3">
      <c r="A95" s="5">
        <v>20512</v>
      </c>
      <c r="B95">
        <v>401</v>
      </c>
      <c r="C95">
        <v>75</v>
      </c>
      <c r="D95">
        <v>75</v>
      </c>
      <c r="E95">
        <v>140</v>
      </c>
      <c r="F95" t="s">
        <v>4</v>
      </c>
      <c r="G95" s="12" t="s">
        <v>4</v>
      </c>
      <c r="O95" t="str">
        <f t="shared" si="3"/>
        <v>INSERT INTO s_inventory VALUES('20512','401',75,75,140,'NULL',NULL);</v>
      </c>
    </row>
    <row r="96" spans="1:15" x14ac:dyDescent="0.3">
      <c r="A96" s="5">
        <v>30321</v>
      </c>
      <c r="B96">
        <v>101</v>
      </c>
      <c r="C96">
        <v>2000</v>
      </c>
      <c r="D96">
        <v>1500</v>
      </c>
      <c r="E96">
        <v>2500</v>
      </c>
      <c r="F96" t="s">
        <v>4</v>
      </c>
      <c r="G96" s="12" t="s">
        <v>4</v>
      </c>
      <c r="O96" t="str">
        <f t="shared" si="3"/>
        <v>INSERT INTO s_inventory VALUES('30321','101',2000,1500,2500,'NULL',NULL);</v>
      </c>
    </row>
    <row r="97" spans="1:15" x14ac:dyDescent="0.3">
      <c r="A97" s="5">
        <v>30321</v>
      </c>
      <c r="B97">
        <v>10501</v>
      </c>
      <c r="C97">
        <v>194</v>
      </c>
      <c r="D97">
        <v>150</v>
      </c>
      <c r="E97">
        <v>275</v>
      </c>
      <c r="F97" t="s">
        <v>4</v>
      </c>
      <c r="G97" s="12" t="s">
        <v>4</v>
      </c>
      <c r="O97" t="str">
        <f t="shared" si="3"/>
        <v>INSERT INTO s_inventory VALUES('30321','10501',194,150,275,'NULL',NULL);</v>
      </c>
    </row>
    <row r="98" spans="1:15" x14ac:dyDescent="0.3">
      <c r="A98" s="5">
        <v>30321</v>
      </c>
      <c r="B98">
        <v>201</v>
      </c>
      <c r="C98">
        <v>96</v>
      </c>
      <c r="D98">
        <v>80</v>
      </c>
      <c r="E98">
        <v>140</v>
      </c>
      <c r="F98" t="s">
        <v>4</v>
      </c>
      <c r="G98" s="12" t="s">
        <v>4</v>
      </c>
      <c r="O98" t="str">
        <f t="shared" si="3"/>
        <v>INSERT INTO s_inventory VALUES('30321','201',96,80,140,'NULL',NULL);</v>
      </c>
    </row>
    <row r="99" spans="1:15" x14ac:dyDescent="0.3">
      <c r="A99" s="5">
        <v>30321</v>
      </c>
      <c r="B99">
        <v>301</v>
      </c>
      <c r="C99">
        <v>85</v>
      </c>
      <c r="D99">
        <v>80</v>
      </c>
      <c r="E99">
        <v>140</v>
      </c>
      <c r="F99" t="s">
        <v>4</v>
      </c>
      <c r="G99" s="12" t="s">
        <v>4</v>
      </c>
      <c r="O99" t="str">
        <f t="shared" si="3"/>
        <v>INSERT INTO s_inventory VALUES('30321','301',85,80,140,'NULL',NULL);</v>
      </c>
    </row>
    <row r="100" spans="1:15" x14ac:dyDescent="0.3">
      <c r="A100" s="5">
        <v>30321</v>
      </c>
      <c r="B100">
        <v>401</v>
      </c>
      <c r="C100">
        <v>102</v>
      </c>
      <c r="D100">
        <v>80</v>
      </c>
      <c r="E100">
        <v>140</v>
      </c>
      <c r="F100" t="s">
        <v>4</v>
      </c>
      <c r="G100" s="12" t="s">
        <v>4</v>
      </c>
      <c r="O100" t="str">
        <f t="shared" si="3"/>
        <v>INSERT INTO s_inventory VALUES('30321','401',102,80,140,'NULL',NULL);</v>
      </c>
    </row>
    <row r="101" spans="1:15" x14ac:dyDescent="0.3">
      <c r="A101" s="5">
        <v>30326</v>
      </c>
      <c r="B101">
        <v>101</v>
      </c>
      <c r="C101">
        <v>2100</v>
      </c>
      <c r="D101">
        <v>2000</v>
      </c>
      <c r="E101">
        <v>3500</v>
      </c>
      <c r="F101" t="s">
        <v>4</v>
      </c>
      <c r="G101" s="12" t="s">
        <v>4</v>
      </c>
      <c r="O101" t="str">
        <f t="shared" si="3"/>
        <v>INSERT INTO s_inventory VALUES('30326','101',2100,2000,3500,'NULL',NULL);</v>
      </c>
    </row>
    <row r="102" spans="1:15" x14ac:dyDescent="0.3">
      <c r="A102" s="5">
        <v>30326</v>
      </c>
      <c r="B102">
        <v>10501</v>
      </c>
      <c r="C102">
        <v>277</v>
      </c>
      <c r="D102">
        <v>250</v>
      </c>
      <c r="E102">
        <v>440</v>
      </c>
      <c r="F102" t="s">
        <v>4</v>
      </c>
      <c r="G102" s="12" t="s">
        <v>4</v>
      </c>
      <c r="O102" t="str">
        <f t="shared" si="3"/>
        <v>INSERT INTO s_inventory VALUES('30326','10501',277,250,440,'NULL',NULL);</v>
      </c>
    </row>
    <row r="103" spans="1:15" x14ac:dyDescent="0.3">
      <c r="A103" s="5">
        <v>30326</v>
      </c>
      <c r="B103">
        <v>201</v>
      </c>
      <c r="C103">
        <v>147</v>
      </c>
      <c r="D103">
        <v>120</v>
      </c>
      <c r="E103">
        <v>210</v>
      </c>
      <c r="F103" t="s">
        <v>4</v>
      </c>
      <c r="G103" s="12" t="s">
        <v>4</v>
      </c>
      <c r="O103" t="str">
        <f t="shared" si="3"/>
        <v>INSERT INTO s_inventory VALUES('30326','201',147,120,210,'NULL',NULL);</v>
      </c>
    </row>
    <row r="104" spans="1:15" x14ac:dyDescent="0.3">
      <c r="A104" s="5">
        <v>30326</v>
      </c>
      <c r="B104">
        <v>401</v>
      </c>
      <c r="C104">
        <v>113</v>
      </c>
      <c r="D104">
        <v>80</v>
      </c>
      <c r="E104">
        <v>140</v>
      </c>
      <c r="F104" t="s">
        <v>4</v>
      </c>
      <c r="G104" s="12" t="s">
        <v>4</v>
      </c>
      <c r="O104" t="str">
        <f t="shared" si="3"/>
        <v>INSERT INTO s_inventory VALUES('30326','401',113,80,140,'NULL',NULL);</v>
      </c>
    </row>
    <row r="105" spans="1:15" x14ac:dyDescent="0.3">
      <c r="A105" s="5">
        <v>30421</v>
      </c>
      <c r="B105">
        <v>101</v>
      </c>
      <c r="C105">
        <v>1822</v>
      </c>
      <c r="D105">
        <v>1800</v>
      </c>
      <c r="E105">
        <v>3150</v>
      </c>
      <c r="F105" t="s">
        <v>4</v>
      </c>
      <c r="G105" s="12" t="s">
        <v>4</v>
      </c>
      <c r="O105" t="str">
        <f t="shared" si="3"/>
        <v>INSERT INTO s_inventory VALUES('30421','101',1822,1800,3150,'NULL',NULL);</v>
      </c>
    </row>
    <row r="106" spans="1:15" x14ac:dyDescent="0.3">
      <c r="A106" s="5">
        <v>30421</v>
      </c>
      <c r="B106">
        <v>10501</v>
      </c>
      <c r="C106">
        <v>190</v>
      </c>
      <c r="D106">
        <v>150</v>
      </c>
      <c r="E106">
        <v>275</v>
      </c>
      <c r="F106" t="s">
        <v>4</v>
      </c>
      <c r="G106" s="12" t="s">
        <v>4</v>
      </c>
      <c r="O106" t="str">
        <f t="shared" si="3"/>
        <v>INSERT INTO s_inventory VALUES('30421','10501',190,150,275,'NULL',NULL);</v>
      </c>
    </row>
    <row r="107" spans="1:15" x14ac:dyDescent="0.3">
      <c r="A107" s="5">
        <v>30421</v>
      </c>
      <c r="B107">
        <v>201</v>
      </c>
      <c r="C107">
        <v>102</v>
      </c>
      <c r="D107">
        <v>80</v>
      </c>
      <c r="E107">
        <v>140</v>
      </c>
      <c r="F107" t="s">
        <v>4</v>
      </c>
      <c r="G107" s="12" t="s">
        <v>4</v>
      </c>
      <c r="O107" t="str">
        <f t="shared" si="3"/>
        <v>INSERT INTO s_inventory VALUES('30421','201',102,80,140,'NULL',NULL);</v>
      </c>
    </row>
    <row r="108" spans="1:15" x14ac:dyDescent="0.3">
      <c r="A108" s="5">
        <v>30421</v>
      </c>
      <c r="B108">
        <v>301</v>
      </c>
      <c r="C108">
        <v>102</v>
      </c>
      <c r="D108">
        <v>80</v>
      </c>
      <c r="E108">
        <v>140</v>
      </c>
      <c r="F108" t="s">
        <v>4</v>
      </c>
      <c r="G108" s="12" t="s">
        <v>4</v>
      </c>
      <c r="O108" t="str">
        <f t="shared" si="3"/>
        <v>INSERT INTO s_inventory VALUES('30421','301',102,80,140,'NULL',NULL);</v>
      </c>
    </row>
    <row r="109" spans="1:15" x14ac:dyDescent="0.3">
      <c r="A109" s="5">
        <v>30421</v>
      </c>
      <c r="B109">
        <v>401</v>
      </c>
      <c r="C109">
        <v>85</v>
      </c>
      <c r="D109">
        <v>80</v>
      </c>
      <c r="E109">
        <v>140</v>
      </c>
      <c r="F109" t="s">
        <v>4</v>
      </c>
      <c r="G109" s="12" t="s">
        <v>4</v>
      </c>
      <c r="O109" t="str">
        <f t="shared" si="3"/>
        <v>INSERT INTO s_inventory VALUES('30421','401',85,80,140,'NULL',NULL);</v>
      </c>
    </row>
    <row r="110" spans="1:15" x14ac:dyDescent="0.3">
      <c r="A110" s="5">
        <v>30426</v>
      </c>
      <c r="B110">
        <v>101</v>
      </c>
      <c r="C110">
        <v>2250</v>
      </c>
      <c r="D110">
        <v>2000</v>
      </c>
      <c r="E110">
        <v>3500</v>
      </c>
      <c r="F110" t="s">
        <v>4</v>
      </c>
      <c r="G110" s="12" t="s">
        <v>4</v>
      </c>
      <c r="O110" t="str">
        <f t="shared" si="3"/>
        <v>INSERT INTO s_inventory VALUES('30426','101',2250,2000,3500,'NULL',NULL);</v>
      </c>
    </row>
    <row r="111" spans="1:15" x14ac:dyDescent="0.3">
      <c r="A111" s="5">
        <v>30426</v>
      </c>
      <c r="B111">
        <v>10501</v>
      </c>
      <c r="C111">
        <v>423</v>
      </c>
      <c r="D111">
        <v>250</v>
      </c>
      <c r="E111">
        <v>450</v>
      </c>
      <c r="F111" t="s">
        <v>4</v>
      </c>
      <c r="G111" s="12" t="s">
        <v>4</v>
      </c>
      <c r="O111" t="str">
        <f t="shared" si="3"/>
        <v>INSERT INTO s_inventory VALUES('30426','10501',423,250,450,'NULL',NULL);</v>
      </c>
    </row>
    <row r="112" spans="1:15" x14ac:dyDescent="0.3">
      <c r="A112" s="5">
        <v>30426</v>
      </c>
      <c r="B112">
        <v>201</v>
      </c>
      <c r="C112">
        <v>200</v>
      </c>
      <c r="D112">
        <v>120</v>
      </c>
      <c r="E112">
        <v>210</v>
      </c>
      <c r="F112" t="s">
        <v>4</v>
      </c>
      <c r="G112" s="12" t="s">
        <v>4</v>
      </c>
      <c r="O112" t="str">
        <f t="shared" si="3"/>
        <v>INSERT INTO s_inventory VALUES('30426','201',200,120,210,'NULL',NULL);</v>
      </c>
    </row>
    <row r="113" spans="1:15" x14ac:dyDescent="0.3">
      <c r="A113" s="5">
        <v>30426</v>
      </c>
      <c r="B113">
        <v>401</v>
      </c>
      <c r="C113">
        <v>135</v>
      </c>
      <c r="D113">
        <v>80</v>
      </c>
      <c r="E113">
        <v>140</v>
      </c>
      <c r="F113" t="s">
        <v>4</v>
      </c>
      <c r="G113" s="12" t="s">
        <v>4</v>
      </c>
      <c r="O113" t="str">
        <f t="shared" si="3"/>
        <v>INSERT INTO s_inventory VALUES('30426','401',135,80,140,'NULL',NULL);</v>
      </c>
    </row>
    <row r="114" spans="1:15" x14ac:dyDescent="0.3">
      <c r="A114" s="5">
        <v>30433</v>
      </c>
      <c r="B114">
        <v>101</v>
      </c>
      <c r="C114">
        <v>650</v>
      </c>
      <c r="D114">
        <v>600</v>
      </c>
      <c r="E114">
        <v>1050</v>
      </c>
      <c r="F114" t="s">
        <v>4</v>
      </c>
      <c r="G114" s="12" t="s">
        <v>4</v>
      </c>
      <c r="O114" t="str">
        <f t="shared" si="3"/>
        <v>INSERT INTO s_inventory VALUES('30433','101',650,600,1050,'NULL',NULL);</v>
      </c>
    </row>
    <row r="115" spans="1:15" x14ac:dyDescent="0.3">
      <c r="A115" s="5">
        <v>30433</v>
      </c>
      <c r="B115">
        <v>10501</v>
      </c>
      <c r="C115">
        <v>273</v>
      </c>
      <c r="D115">
        <v>200</v>
      </c>
      <c r="E115">
        <v>350</v>
      </c>
      <c r="F115" t="s">
        <v>4</v>
      </c>
      <c r="G115" s="12" t="s">
        <v>4</v>
      </c>
      <c r="O115" t="str">
        <f t="shared" si="3"/>
        <v>INSERT INTO s_inventory VALUES('30433','10501',273,200,350,'NULL',NULL);</v>
      </c>
    </row>
    <row r="116" spans="1:15" x14ac:dyDescent="0.3">
      <c r="A116" s="5">
        <v>30433</v>
      </c>
      <c r="B116">
        <v>201</v>
      </c>
      <c r="C116">
        <v>130</v>
      </c>
      <c r="D116">
        <v>130</v>
      </c>
      <c r="E116">
        <v>230</v>
      </c>
      <c r="F116" t="s">
        <v>4</v>
      </c>
      <c r="G116" s="12" t="s">
        <v>4</v>
      </c>
      <c r="O116" t="str">
        <f t="shared" si="3"/>
        <v>INSERT INTO s_inventory VALUES('30433','201',130,130,230,'NULL',NULL);</v>
      </c>
    </row>
    <row r="117" spans="1:15" x14ac:dyDescent="0.3">
      <c r="A117" s="5">
        <v>30433</v>
      </c>
      <c r="B117">
        <v>301</v>
      </c>
      <c r="C117">
        <v>35</v>
      </c>
      <c r="D117">
        <v>20</v>
      </c>
      <c r="E117">
        <v>35</v>
      </c>
      <c r="F117" t="s">
        <v>4</v>
      </c>
      <c r="G117" s="12" t="s">
        <v>4</v>
      </c>
      <c r="O117" t="str">
        <f t="shared" si="3"/>
        <v>INSERT INTO s_inventory VALUES('30433','301',35,20,35,'NULL',NULL);</v>
      </c>
    </row>
    <row r="118" spans="1:15" x14ac:dyDescent="0.3">
      <c r="A118" s="5">
        <v>30433</v>
      </c>
      <c r="B118">
        <v>401</v>
      </c>
      <c r="C118">
        <v>0</v>
      </c>
      <c r="D118">
        <v>100</v>
      </c>
      <c r="E118">
        <v>175</v>
      </c>
      <c r="F118" t="s">
        <v>4</v>
      </c>
      <c r="G118" s="12" t="s">
        <v>4</v>
      </c>
      <c r="O118" t="str">
        <f t="shared" si="3"/>
        <v>INSERT INTO s_inventory VALUES('30433','401',0,100,175,'NULL',NULL);</v>
      </c>
    </row>
    <row r="119" spans="1:15" x14ac:dyDescent="0.3">
      <c r="A119" s="5">
        <v>32779</v>
      </c>
      <c r="B119">
        <v>101</v>
      </c>
      <c r="C119">
        <v>2120</v>
      </c>
      <c r="D119">
        <v>1250</v>
      </c>
      <c r="E119">
        <v>2200</v>
      </c>
      <c r="F119" t="s">
        <v>4</v>
      </c>
      <c r="G119" s="12" t="s">
        <v>4</v>
      </c>
      <c r="O119" t="str">
        <f t="shared" si="3"/>
        <v>INSERT INTO s_inventory VALUES('32779','101',2120,1250,2200,'NULL',NULL);</v>
      </c>
    </row>
    <row r="120" spans="1:15" x14ac:dyDescent="0.3">
      <c r="A120" s="5">
        <v>32779</v>
      </c>
      <c r="B120">
        <v>10501</v>
      </c>
      <c r="C120">
        <v>280</v>
      </c>
      <c r="D120">
        <v>200</v>
      </c>
      <c r="E120">
        <v>350</v>
      </c>
      <c r="F120" t="s">
        <v>4</v>
      </c>
      <c r="G120" s="12" t="s">
        <v>4</v>
      </c>
      <c r="O120" t="str">
        <f t="shared" si="3"/>
        <v>INSERT INTO s_inventory VALUES('32779','10501',280,200,350,'NULL',NULL);</v>
      </c>
    </row>
    <row r="121" spans="1:15" x14ac:dyDescent="0.3">
      <c r="A121" s="5">
        <v>32779</v>
      </c>
      <c r="B121">
        <v>201</v>
      </c>
      <c r="C121">
        <v>180</v>
      </c>
      <c r="D121">
        <v>150</v>
      </c>
      <c r="E121">
        <v>260</v>
      </c>
      <c r="F121" t="s">
        <v>4</v>
      </c>
      <c r="G121" s="12" t="s">
        <v>4</v>
      </c>
      <c r="O121" t="str">
        <f t="shared" si="3"/>
        <v>INSERT INTO s_inventory VALUES('32779','201',180,150,260,'NULL',NULL);</v>
      </c>
    </row>
    <row r="122" spans="1:15" x14ac:dyDescent="0.3">
      <c r="A122" s="5">
        <v>32779</v>
      </c>
      <c r="B122">
        <v>301</v>
      </c>
      <c r="C122">
        <v>102</v>
      </c>
      <c r="D122">
        <v>95</v>
      </c>
      <c r="E122">
        <v>175</v>
      </c>
      <c r="F122" t="s">
        <v>4</v>
      </c>
      <c r="G122" s="12" t="s">
        <v>4</v>
      </c>
      <c r="O122" t="str">
        <f t="shared" si="3"/>
        <v>INSERT INTO s_inventory VALUES('32779','301',102,95,175,'NULL',NULL);</v>
      </c>
    </row>
    <row r="123" spans="1:15" x14ac:dyDescent="0.3">
      <c r="A123" s="5">
        <v>32779</v>
      </c>
      <c r="B123">
        <v>401</v>
      </c>
      <c r="C123">
        <v>135</v>
      </c>
      <c r="D123">
        <v>100</v>
      </c>
      <c r="E123">
        <v>175</v>
      </c>
      <c r="F123" t="s">
        <v>4</v>
      </c>
      <c r="G123" s="12" t="s">
        <v>4</v>
      </c>
      <c r="O123" t="str">
        <f t="shared" si="3"/>
        <v>INSERT INTO s_inventory VALUES('32779','401',135,100,175,'NULL',NULL);</v>
      </c>
    </row>
    <row r="124" spans="1:15" x14ac:dyDescent="0.3">
      <c r="A124" s="5">
        <v>32861</v>
      </c>
      <c r="B124">
        <v>101</v>
      </c>
      <c r="C124">
        <v>505</v>
      </c>
      <c r="D124">
        <v>500</v>
      </c>
      <c r="E124">
        <v>875</v>
      </c>
      <c r="F124" t="s">
        <v>4</v>
      </c>
      <c r="G124" s="12" t="s">
        <v>4</v>
      </c>
      <c r="O124" t="str">
        <f t="shared" si="3"/>
        <v>INSERT INTO s_inventory VALUES('32861','101',505,500,875,'NULL',NULL);</v>
      </c>
    </row>
    <row r="125" spans="1:15" x14ac:dyDescent="0.3">
      <c r="A125" s="5">
        <v>32861</v>
      </c>
      <c r="B125">
        <v>10501</v>
      </c>
      <c r="C125">
        <v>288</v>
      </c>
      <c r="D125">
        <v>200</v>
      </c>
      <c r="E125">
        <v>350</v>
      </c>
      <c r="F125" t="s">
        <v>4</v>
      </c>
      <c r="G125" s="12" t="s">
        <v>4</v>
      </c>
      <c r="O125" t="str">
        <f t="shared" si="3"/>
        <v>INSERT INTO s_inventory VALUES('32861','10501',288,200,350,'NULL',NULL);</v>
      </c>
    </row>
    <row r="126" spans="1:15" x14ac:dyDescent="0.3">
      <c r="A126" s="5">
        <v>32861</v>
      </c>
      <c r="B126">
        <v>201</v>
      </c>
      <c r="C126">
        <v>132</v>
      </c>
      <c r="D126">
        <v>80</v>
      </c>
      <c r="E126">
        <v>140</v>
      </c>
      <c r="F126" t="s">
        <v>4</v>
      </c>
      <c r="G126" s="12" t="s">
        <v>4</v>
      </c>
      <c r="O126" t="str">
        <f t="shared" si="3"/>
        <v>INSERT INTO s_inventory VALUES('32861','201',132,80,140,'NULL',NULL);</v>
      </c>
    </row>
    <row r="127" spans="1:15" x14ac:dyDescent="0.3">
      <c r="A127" s="5">
        <v>32861</v>
      </c>
      <c r="B127">
        <v>301</v>
      </c>
      <c r="C127">
        <v>57</v>
      </c>
      <c r="D127">
        <v>50</v>
      </c>
      <c r="E127">
        <v>100</v>
      </c>
      <c r="F127" t="s">
        <v>4</v>
      </c>
      <c r="G127" s="12" t="s">
        <v>4</v>
      </c>
      <c r="O127" t="str">
        <f t="shared" si="3"/>
        <v>INSERT INTO s_inventory VALUES('32861','301',57,50,100,'NULL',NULL);</v>
      </c>
    </row>
    <row r="128" spans="1:15" x14ac:dyDescent="0.3">
      <c r="A128" s="5">
        <v>32861</v>
      </c>
      <c r="B128">
        <v>401</v>
      </c>
      <c r="C128">
        <v>250</v>
      </c>
      <c r="D128">
        <v>150</v>
      </c>
      <c r="E128">
        <v>250</v>
      </c>
      <c r="F128" t="s">
        <v>4</v>
      </c>
      <c r="G128" s="12" t="s">
        <v>4</v>
      </c>
      <c r="O128" t="str">
        <f t="shared" si="3"/>
        <v>INSERT INTO s_inventory VALUES('32861','401',250,150,250,'NULL',NULL);</v>
      </c>
    </row>
    <row r="129" spans="1:15" x14ac:dyDescent="0.3">
      <c r="A129" s="5">
        <v>40421</v>
      </c>
      <c r="B129">
        <v>101</v>
      </c>
      <c r="C129">
        <v>578</v>
      </c>
      <c r="D129">
        <v>350</v>
      </c>
      <c r="E129">
        <v>600</v>
      </c>
      <c r="F129" t="s">
        <v>4</v>
      </c>
      <c r="G129" s="12" t="s">
        <v>4</v>
      </c>
      <c r="O129" t="str">
        <f t="shared" si="3"/>
        <v>INSERT INTO s_inventory VALUES('40421','101',578,350,600,'NULL',NULL);</v>
      </c>
    </row>
    <row r="130" spans="1:15" x14ac:dyDescent="0.3">
      <c r="A130" s="5">
        <v>40421</v>
      </c>
      <c r="B130">
        <v>10501</v>
      </c>
      <c r="C130">
        <v>97</v>
      </c>
      <c r="D130">
        <v>80</v>
      </c>
      <c r="E130">
        <v>140</v>
      </c>
      <c r="F130" t="s">
        <v>4</v>
      </c>
      <c r="G130" s="12" t="s">
        <v>4</v>
      </c>
      <c r="O130" t="str">
        <f t="shared" si="3"/>
        <v>INSERT INTO s_inventory VALUES('40421','10501',97,80,140,'NULL',NULL);</v>
      </c>
    </row>
    <row r="131" spans="1:15" x14ac:dyDescent="0.3">
      <c r="A131" s="5">
        <v>40421</v>
      </c>
      <c r="B131">
        <v>301</v>
      </c>
      <c r="C131">
        <v>70</v>
      </c>
      <c r="D131">
        <v>40</v>
      </c>
      <c r="E131">
        <v>70</v>
      </c>
      <c r="F131" t="s">
        <v>4</v>
      </c>
      <c r="G131" s="12" t="s">
        <v>4</v>
      </c>
      <c r="O131" t="str">
        <f t="shared" si="3"/>
        <v>INSERT INTO s_inventory VALUES('40421','301',70,40,70,'NULL',NULL);</v>
      </c>
    </row>
    <row r="132" spans="1:15" x14ac:dyDescent="0.3">
      <c r="A132" s="5">
        <v>40421</v>
      </c>
      <c r="B132">
        <v>401</v>
      </c>
      <c r="C132">
        <v>47</v>
      </c>
      <c r="D132">
        <v>40</v>
      </c>
      <c r="E132">
        <v>70</v>
      </c>
      <c r="F132" t="s">
        <v>4</v>
      </c>
      <c r="G132" s="12" t="s">
        <v>4</v>
      </c>
      <c r="O132" t="str">
        <f t="shared" ref="O132:O180" si="4">"INSERT INTO s_inventory VALUES('"&amp;A132&amp;"','"&amp;B132&amp;"',"&amp;C132&amp;","&amp;D132&amp;","&amp;E132&amp;",'"&amp;F132&amp;"',"&amp;IF(G132="NULL","NULL","'"&amp;G132&amp;"'")&amp;");"</f>
        <v>INSERT INTO s_inventory VALUES('40421','401',47,40,70,'NULL',NULL);</v>
      </c>
    </row>
    <row r="133" spans="1:15" x14ac:dyDescent="0.3">
      <c r="A133" s="5">
        <v>40422</v>
      </c>
      <c r="B133">
        <v>101</v>
      </c>
      <c r="C133">
        <v>0</v>
      </c>
      <c r="D133">
        <v>350</v>
      </c>
      <c r="E133">
        <v>600</v>
      </c>
      <c r="F133" t="s">
        <v>199</v>
      </c>
      <c r="G133" s="12" t="s">
        <v>201</v>
      </c>
      <c r="O133" t="str">
        <f t="shared" si="4"/>
        <v>INSERT INTO s_inventory VALUES('40422','101',0,350,600,'Phenomenal sales...','1993-02-08 00:00:00.000');</v>
      </c>
    </row>
    <row r="134" spans="1:15" x14ac:dyDescent="0.3">
      <c r="A134" s="5">
        <v>40422</v>
      </c>
      <c r="B134">
        <v>10501</v>
      </c>
      <c r="C134">
        <v>90</v>
      </c>
      <c r="D134">
        <v>80</v>
      </c>
      <c r="E134">
        <v>140</v>
      </c>
      <c r="F134" t="s">
        <v>4</v>
      </c>
      <c r="G134" s="12" t="s">
        <v>4</v>
      </c>
      <c r="O134" t="str">
        <f t="shared" si="4"/>
        <v>INSERT INTO s_inventory VALUES('40422','10501',90,80,140,'NULL',NULL);</v>
      </c>
    </row>
    <row r="135" spans="1:15" x14ac:dyDescent="0.3">
      <c r="A135" s="5">
        <v>40422</v>
      </c>
      <c r="B135">
        <v>301</v>
      </c>
      <c r="C135">
        <v>65</v>
      </c>
      <c r="D135">
        <v>40</v>
      </c>
      <c r="E135">
        <v>70</v>
      </c>
      <c r="F135" t="s">
        <v>4</v>
      </c>
      <c r="G135" s="12" t="s">
        <v>4</v>
      </c>
      <c r="O135" t="str">
        <f t="shared" si="4"/>
        <v>INSERT INTO s_inventory VALUES('40422','301',65,40,70,'NULL',NULL);</v>
      </c>
    </row>
    <row r="136" spans="1:15" x14ac:dyDescent="0.3">
      <c r="A136" s="5">
        <v>40422</v>
      </c>
      <c r="B136">
        <v>401</v>
      </c>
      <c r="C136">
        <v>50</v>
      </c>
      <c r="D136">
        <v>40</v>
      </c>
      <c r="E136">
        <v>70</v>
      </c>
      <c r="F136" t="s">
        <v>4</v>
      </c>
      <c r="G136" s="12" t="s">
        <v>4</v>
      </c>
      <c r="O136" t="str">
        <f t="shared" si="4"/>
        <v>INSERT INTO s_inventory VALUES('40422','401',50,40,70,'NULL',NULL);</v>
      </c>
    </row>
    <row r="137" spans="1:15" x14ac:dyDescent="0.3">
      <c r="A137" s="5">
        <v>41010</v>
      </c>
      <c r="B137">
        <v>101</v>
      </c>
      <c r="C137">
        <v>250</v>
      </c>
      <c r="D137">
        <v>250</v>
      </c>
      <c r="E137">
        <v>437</v>
      </c>
      <c r="F137" t="s">
        <v>4</v>
      </c>
      <c r="G137" s="12" t="s">
        <v>4</v>
      </c>
      <c r="O137" t="str">
        <f t="shared" si="4"/>
        <v>INSERT INTO s_inventory VALUES('41010','101',250,250,437,'NULL',NULL);</v>
      </c>
    </row>
    <row r="138" spans="1:15" x14ac:dyDescent="0.3">
      <c r="A138" s="5">
        <v>41010</v>
      </c>
      <c r="B138">
        <v>10501</v>
      </c>
      <c r="C138">
        <v>151</v>
      </c>
      <c r="D138">
        <v>140</v>
      </c>
      <c r="E138">
        <v>245</v>
      </c>
      <c r="F138" t="s">
        <v>4</v>
      </c>
      <c r="G138" s="12" t="s">
        <v>4</v>
      </c>
      <c r="O138" t="str">
        <f t="shared" si="4"/>
        <v>INSERT INTO s_inventory VALUES('41010','10501',151,140,245,'NULL',NULL);</v>
      </c>
    </row>
    <row r="139" spans="1:15" x14ac:dyDescent="0.3">
      <c r="A139" s="5">
        <v>41010</v>
      </c>
      <c r="B139">
        <v>301</v>
      </c>
      <c r="C139">
        <v>59</v>
      </c>
      <c r="D139">
        <v>40</v>
      </c>
      <c r="E139">
        <v>70</v>
      </c>
      <c r="F139" t="s">
        <v>4</v>
      </c>
      <c r="G139" s="12" t="s">
        <v>4</v>
      </c>
      <c r="O139" t="str">
        <f t="shared" si="4"/>
        <v>INSERT INTO s_inventory VALUES('41010','301',59,40,70,'NULL',NULL);</v>
      </c>
    </row>
    <row r="140" spans="1:15" x14ac:dyDescent="0.3">
      <c r="A140" s="5">
        <v>41010</v>
      </c>
      <c r="B140">
        <v>401</v>
      </c>
      <c r="C140">
        <v>80</v>
      </c>
      <c r="D140">
        <v>70</v>
      </c>
      <c r="E140">
        <v>220</v>
      </c>
      <c r="F140" t="s">
        <v>4</v>
      </c>
      <c r="G140" s="12" t="s">
        <v>4</v>
      </c>
      <c r="O140" t="str">
        <f t="shared" si="4"/>
        <v>INSERT INTO s_inventory VALUES('41010','401',80,70,220,'NULL',NULL);</v>
      </c>
    </row>
    <row r="141" spans="1:15" x14ac:dyDescent="0.3">
      <c r="A141" s="5">
        <v>41020</v>
      </c>
      <c r="B141">
        <v>101</v>
      </c>
      <c r="C141">
        <v>471</v>
      </c>
      <c r="D141">
        <v>450</v>
      </c>
      <c r="E141">
        <v>750</v>
      </c>
      <c r="F141" t="s">
        <v>4</v>
      </c>
      <c r="G141" s="12" t="s">
        <v>4</v>
      </c>
      <c r="O141" t="str">
        <f t="shared" si="4"/>
        <v>INSERT INTO s_inventory VALUES('41020','101',471,450,750,'NULL',NULL);</v>
      </c>
    </row>
    <row r="142" spans="1:15" x14ac:dyDescent="0.3">
      <c r="A142" s="5">
        <v>41020</v>
      </c>
      <c r="B142">
        <v>10501</v>
      </c>
      <c r="C142">
        <v>224</v>
      </c>
      <c r="D142">
        <v>140</v>
      </c>
      <c r="E142">
        <v>245</v>
      </c>
      <c r="F142" t="s">
        <v>4</v>
      </c>
      <c r="G142" s="12" t="s">
        <v>4</v>
      </c>
      <c r="O142" t="str">
        <f t="shared" si="4"/>
        <v>INSERT INTO s_inventory VALUES('41020','10501',224,140,245,'NULL',NULL);</v>
      </c>
    </row>
    <row r="143" spans="1:15" x14ac:dyDescent="0.3">
      <c r="A143" s="5">
        <v>41020</v>
      </c>
      <c r="B143">
        <v>301</v>
      </c>
      <c r="C143">
        <v>61</v>
      </c>
      <c r="D143">
        <v>40</v>
      </c>
      <c r="E143">
        <v>70</v>
      </c>
      <c r="F143" t="s">
        <v>4</v>
      </c>
      <c r="G143" s="12" t="s">
        <v>4</v>
      </c>
      <c r="O143" t="str">
        <f t="shared" si="4"/>
        <v>INSERT INTO s_inventory VALUES('41020','301',61,40,70,'NULL',NULL);</v>
      </c>
    </row>
    <row r="144" spans="1:15" x14ac:dyDescent="0.3">
      <c r="A144" s="5">
        <v>41020</v>
      </c>
      <c r="B144">
        <v>401</v>
      </c>
      <c r="C144">
        <v>91</v>
      </c>
      <c r="D144">
        <v>70</v>
      </c>
      <c r="E144">
        <v>220</v>
      </c>
      <c r="F144" t="s">
        <v>4</v>
      </c>
      <c r="G144" s="12" t="s">
        <v>4</v>
      </c>
      <c r="O144" t="str">
        <f t="shared" si="4"/>
        <v>INSERT INTO s_inventory VALUES('41020','401',91,70,220,'NULL',NULL);</v>
      </c>
    </row>
    <row r="145" spans="1:15" x14ac:dyDescent="0.3">
      <c r="A145" s="5">
        <v>41050</v>
      </c>
      <c r="B145">
        <v>101</v>
      </c>
      <c r="C145">
        <v>501</v>
      </c>
      <c r="D145">
        <v>450</v>
      </c>
      <c r="E145">
        <v>750</v>
      </c>
      <c r="F145" t="s">
        <v>4</v>
      </c>
      <c r="G145" s="12" t="s">
        <v>4</v>
      </c>
      <c r="O145" t="str">
        <f t="shared" si="4"/>
        <v>INSERT INTO s_inventory VALUES('41050','101',501,450,750,'NULL',NULL);</v>
      </c>
    </row>
    <row r="146" spans="1:15" x14ac:dyDescent="0.3">
      <c r="A146" s="5">
        <v>41050</v>
      </c>
      <c r="B146">
        <v>10501</v>
      </c>
      <c r="C146">
        <v>157</v>
      </c>
      <c r="D146">
        <v>140</v>
      </c>
      <c r="E146">
        <v>245</v>
      </c>
      <c r="F146" t="s">
        <v>4</v>
      </c>
      <c r="G146" s="12" t="s">
        <v>4</v>
      </c>
      <c r="O146" t="str">
        <f t="shared" si="4"/>
        <v>INSERT INTO s_inventory VALUES('41050','10501',157,140,245,'NULL',NULL);</v>
      </c>
    </row>
    <row r="147" spans="1:15" x14ac:dyDescent="0.3">
      <c r="A147" s="5">
        <v>41050</v>
      </c>
      <c r="B147">
        <v>301</v>
      </c>
      <c r="C147">
        <v>49</v>
      </c>
      <c r="D147">
        <v>40</v>
      </c>
      <c r="E147">
        <v>70</v>
      </c>
      <c r="F147" t="s">
        <v>4</v>
      </c>
      <c r="G147" s="12" t="s">
        <v>4</v>
      </c>
      <c r="O147" t="str">
        <f t="shared" si="4"/>
        <v>INSERT INTO s_inventory VALUES('41050','301',49,40,70,'NULL',NULL);</v>
      </c>
    </row>
    <row r="148" spans="1:15" x14ac:dyDescent="0.3">
      <c r="A148" s="5">
        <v>41050</v>
      </c>
      <c r="B148">
        <v>401</v>
      </c>
      <c r="C148">
        <v>169</v>
      </c>
      <c r="D148">
        <v>70</v>
      </c>
      <c r="E148">
        <v>220</v>
      </c>
      <c r="F148" t="s">
        <v>4</v>
      </c>
      <c r="G148" s="12" t="s">
        <v>4</v>
      </c>
      <c r="O148" t="str">
        <f t="shared" si="4"/>
        <v>INSERT INTO s_inventory VALUES('41050','401',169,70,220,'NULL',NULL);</v>
      </c>
    </row>
    <row r="149" spans="1:15" x14ac:dyDescent="0.3">
      <c r="A149" s="5">
        <v>41080</v>
      </c>
      <c r="B149">
        <v>101</v>
      </c>
      <c r="C149">
        <v>400</v>
      </c>
      <c r="D149">
        <v>400</v>
      </c>
      <c r="E149">
        <v>700</v>
      </c>
      <c r="F149" t="s">
        <v>4</v>
      </c>
      <c r="G149" s="12" t="s">
        <v>4</v>
      </c>
      <c r="O149" t="str">
        <f t="shared" si="4"/>
        <v>INSERT INTO s_inventory VALUES('41080','101',400,400,700,'NULL',NULL);</v>
      </c>
    </row>
    <row r="150" spans="1:15" x14ac:dyDescent="0.3">
      <c r="A150" s="5">
        <v>41080</v>
      </c>
      <c r="B150">
        <v>10501</v>
      </c>
      <c r="C150">
        <v>159</v>
      </c>
      <c r="D150">
        <v>140</v>
      </c>
      <c r="E150">
        <v>245</v>
      </c>
      <c r="F150" t="s">
        <v>4</v>
      </c>
      <c r="G150" s="12" t="s">
        <v>4</v>
      </c>
      <c r="O150" t="str">
        <f t="shared" si="4"/>
        <v>INSERT INTO s_inventory VALUES('41080','10501',159,140,245,'NULL',NULL);</v>
      </c>
    </row>
    <row r="151" spans="1:15" x14ac:dyDescent="0.3">
      <c r="A151" s="5">
        <v>41080</v>
      </c>
      <c r="B151">
        <v>301</v>
      </c>
      <c r="C151">
        <v>50</v>
      </c>
      <c r="D151">
        <v>40</v>
      </c>
      <c r="E151">
        <v>70</v>
      </c>
      <c r="F151" t="s">
        <v>4</v>
      </c>
      <c r="G151" s="12" t="s">
        <v>4</v>
      </c>
      <c r="O151" t="str">
        <f t="shared" si="4"/>
        <v>INSERT INTO s_inventory VALUES('41080','301',50,40,70,'NULL',NULL);</v>
      </c>
    </row>
    <row r="152" spans="1:15" x14ac:dyDescent="0.3">
      <c r="A152" s="5">
        <v>41080</v>
      </c>
      <c r="B152">
        <v>401</v>
      </c>
      <c r="C152">
        <v>100</v>
      </c>
      <c r="D152">
        <v>70</v>
      </c>
      <c r="E152">
        <v>220</v>
      </c>
      <c r="F152" t="s">
        <v>4</v>
      </c>
      <c r="G152" s="12" t="s">
        <v>4</v>
      </c>
      <c r="O152" t="str">
        <f t="shared" si="4"/>
        <v>INSERT INTO s_inventory VALUES('41080','401',100,70,220,'NULL',NULL);</v>
      </c>
    </row>
    <row r="153" spans="1:15" x14ac:dyDescent="0.3">
      <c r="A153" s="5">
        <v>41100</v>
      </c>
      <c r="B153">
        <v>101</v>
      </c>
      <c r="C153">
        <v>350</v>
      </c>
      <c r="D153">
        <v>350</v>
      </c>
      <c r="E153">
        <v>600</v>
      </c>
      <c r="F153" t="s">
        <v>4</v>
      </c>
      <c r="G153" s="12" t="s">
        <v>4</v>
      </c>
      <c r="O153" t="str">
        <f t="shared" si="4"/>
        <v>INSERT INTO s_inventory VALUES('41100','101',350,350,600,'NULL',NULL);</v>
      </c>
    </row>
    <row r="154" spans="1:15" x14ac:dyDescent="0.3">
      <c r="A154" s="5">
        <v>41100</v>
      </c>
      <c r="B154">
        <v>10501</v>
      </c>
      <c r="C154">
        <v>141</v>
      </c>
      <c r="D154">
        <v>140</v>
      </c>
      <c r="E154">
        <v>245</v>
      </c>
      <c r="F154" t="s">
        <v>4</v>
      </c>
      <c r="G154" s="12" t="s">
        <v>4</v>
      </c>
      <c r="O154" t="str">
        <f t="shared" si="4"/>
        <v>INSERT INTO s_inventory VALUES('41100','10501',141,140,245,'NULL',NULL);</v>
      </c>
    </row>
    <row r="155" spans="1:15" x14ac:dyDescent="0.3">
      <c r="A155" s="5">
        <v>41100</v>
      </c>
      <c r="B155">
        <v>301</v>
      </c>
      <c r="C155">
        <v>42</v>
      </c>
      <c r="D155">
        <v>40</v>
      </c>
      <c r="E155">
        <v>70</v>
      </c>
      <c r="F155" t="s">
        <v>4</v>
      </c>
      <c r="G155" s="12" t="s">
        <v>4</v>
      </c>
      <c r="O155" t="str">
        <f t="shared" si="4"/>
        <v>INSERT INTO s_inventory VALUES('41100','301',42,40,70,'NULL',NULL);</v>
      </c>
    </row>
    <row r="156" spans="1:15" x14ac:dyDescent="0.3">
      <c r="A156" s="5">
        <v>41100</v>
      </c>
      <c r="B156">
        <v>401</v>
      </c>
      <c r="C156">
        <v>75</v>
      </c>
      <c r="D156">
        <v>70</v>
      </c>
      <c r="E156">
        <v>220</v>
      </c>
      <c r="F156" t="s">
        <v>4</v>
      </c>
      <c r="G156" s="12" t="s">
        <v>4</v>
      </c>
      <c r="O156" t="str">
        <f t="shared" si="4"/>
        <v>INSERT INTO s_inventory VALUES('41100','401',75,70,220,'NULL',NULL);</v>
      </c>
    </row>
    <row r="157" spans="1:15" x14ac:dyDescent="0.3">
      <c r="A157" s="5">
        <v>50169</v>
      </c>
      <c r="B157">
        <v>101</v>
      </c>
      <c r="C157">
        <v>2530</v>
      </c>
      <c r="D157">
        <v>1500</v>
      </c>
      <c r="E157">
        <v>2600</v>
      </c>
      <c r="F157" t="s">
        <v>4</v>
      </c>
      <c r="G157" s="12" t="s">
        <v>4</v>
      </c>
      <c r="O157" t="str">
        <f t="shared" si="4"/>
        <v>INSERT INTO s_inventory VALUES('50169','101',2530,1500,2600,'NULL',NULL);</v>
      </c>
    </row>
    <row r="158" spans="1:15" x14ac:dyDescent="0.3">
      <c r="A158" s="5">
        <v>50169</v>
      </c>
      <c r="B158">
        <v>201</v>
      </c>
      <c r="C158">
        <v>225</v>
      </c>
      <c r="D158">
        <v>220</v>
      </c>
      <c r="E158">
        <v>385</v>
      </c>
      <c r="F158" t="s">
        <v>4</v>
      </c>
      <c r="G158" s="12" t="s">
        <v>4</v>
      </c>
      <c r="O158" t="str">
        <f t="shared" si="4"/>
        <v>INSERT INTO s_inventory VALUES('50169','201',225,220,385,'NULL',NULL);</v>
      </c>
    </row>
    <row r="159" spans="1:15" x14ac:dyDescent="0.3">
      <c r="A159" s="5">
        <v>50169</v>
      </c>
      <c r="B159">
        <v>401</v>
      </c>
      <c r="C159">
        <v>240</v>
      </c>
      <c r="D159">
        <v>200</v>
      </c>
      <c r="E159">
        <v>350</v>
      </c>
      <c r="F159" t="s">
        <v>4</v>
      </c>
      <c r="G159" s="12" t="s">
        <v>4</v>
      </c>
      <c r="O159" t="str">
        <f t="shared" si="4"/>
        <v>INSERT INTO s_inventory VALUES('50169','401',240,200,350,'NULL',NULL);</v>
      </c>
    </row>
    <row r="160" spans="1:15" x14ac:dyDescent="0.3">
      <c r="A160" s="5">
        <v>50273</v>
      </c>
      <c r="B160">
        <v>101</v>
      </c>
      <c r="C160">
        <v>233</v>
      </c>
      <c r="D160">
        <v>200</v>
      </c>
      <c r="E160">
        <v>350</v>
      </c>
      <c r="F160" t="s">
        <v>4</v>
      </c>
      <c r="G160" s="12" t="s">
        <v>4</v>
      </c>
      <c r="O160" t="str">
        <f t="shared" si="4"/>
        <v>INSERT INTO s_inventory VALUES('50273','101',233,200,350,'NULL',NULL);</v>
      </c>
    </row>
    <row r="161" spans="1:15" x14ac:dyDescent="0.3">
      <c r="A161" s="5">
        <v>50273</v>
      </c>
      <c r="B161">
        <v>201</v>
      </c>
      <c r="C161">
        <v>75</v>
      </c>
      <c r="D161">
        <v>60</v>
      </c>
      <c r="E161">
        <v>100</v>
      </c>
      <c r="F161" t="s">
        <v>4</v>
      </c>
      <c r="G161" s="12" t="s">
        <v>4</v>
      </c>
      <c r="O161" t="str">
        <f t="shared" si="4"/>
        <v>INSERT INTO s_inventory VALUES('50273','201',75,60,100,'NULL',NULL);</v>
      </c>
    </row>
    <row r="162" spans="1:15" x14ac:dyDescent="0.3">
      <c r="A162" s="5">
        <v>50273</v>
      </c>
      <c r="B162">
        <v>401</v>
      </c>
      <c r="C162">
        <v>224</v>
      </c>
      <c r="D162">
        <v>150</v>
      </c>
      <c r="E162">
        <v>280</v>
      </c>
      <c r="F162" t="s">
        <v>4</v>
      </c>
      <c r="G162" s="12" t="s">
        <v>4</v>
      </c>
      <c r="O162" t="str">
        <f t="shared" si="4"/>
        <v>INSERT INTO s_inventory VALUES('50273','401',224,150,280,'NULL',NULL);</v>
      </c>
    </row>
    <row r="163" spans="1:15" x14ac:dyDescent="0.3">
      <c r="A163" s="5">
        <v>50417</v>
      </c>
      <c r="B163">
        <v>101</v>
      </c>
      <c r="C163">
        <v>518</v>
      </c>
      <c r="D163">
        <v>500</v>
      </c>
      <c r="E163">
        <v>875</v>
      </c>
      <c r="F163" t="s">
        <v>4</v>
      </c>
      <c r="G163" s="12" t="s">
        <v>4</v>
      </c>
      <c r="O163" t="str">
        <f t="shared" si="4"/>
        <v>INSERT INTO s_inventory VALUES('50417','101',518,500,875,'NULL',NULL);</v>
      </c>
    </row>
    <row r="164" spans="1:15" x14ac:dyDescent="0.3">
      <c r="A164" s="5">
        <v>50417</v>
      </c>
      <c r="B164">
        <v>201</v>
      </c>
      <c r="C164">
        <v>82</v>
      </c>
      <c r="D164">
        <v>60</v>
      </c>
      <c r="E164">
        <v>100</v>
      </c>
      <c r="F164" t="s">
        <v>4</v>
      </c>
      <c r="G164" s="12" t="s">
        <v>4</v>
      </c>
      <c r="O164" t="str">
        <f t="shared" si="4"/>
        <v>INSERT INTO s_inventory VALUES('50417','201',82,60,100,'NULL',NULL);</v>
      </c>
    </row>
    <row r="165" spans="1:15" x14ac:dyDescent="0.3">
      <c r="A165" s="5">
        <v>50417</v>
      </c>
      <c r="B165">
        <v>401</v>
      </c>
      <c r="C165">
        <v>130</v>
      </c>
      <c r="D165">
        <v>120</v>
      </c>
      <c r="E165">
        <v>210</v>
      </c>
      <c r="F165" t="s">
        <v>4</v>
      </c>
      <c r="G165" s="12" t="s">
        <v>4</v>
      </c>
      <c r="O165" t="str">
        <f t="shared" si="4"/>
        <v>INSERT INTO s_inventory VALUES('50417','401',130,120,210,'NULL',NULL);</v>
      </c>
    </row>
    <row r="166" spans="1:15" x14ac:dyDescent="0.3">
      <c r="A166" s="5">
        <v>50418</v>
      </c>
      <c r="B166">
        <v>101</v>
      </c>
      <c r="C166">
        <v>244</v>
      </c>
      <c r="D166">
        <v>100</v>
      </c>
      <c r="E166">
        <v>275</v>
      </c>
      <c r="F166" t="s">
        <v>4</v>
      </c>
      <c r="G166" s="12" t="s">
        <v>4</v>
      </c>
      <c r="O166" t="str">
        <f t="shared" si="4"/>
        <v>INSERT INTO s_inventory VALUES('50418','101',244,100,275,'NULL',NULL);</v>
      </c>
    </row>
    <row r="167" spans="1:15" x14ac:dyDescent="0.3">
      <c r="A167" s="5">
        <v>50418</v>
      </c>
      <c r="B167">
        <v>201</v>
      </c>
      <c r="C167">
        <v>98</v>
      </c>
      <c r="D167">
        <v>60</v>
      </c>
      <c r="E167">
        <v>100</v>
      </c>
      <c r="F167" t="s">
        <v>4</v>
      </c>
      <c r="G167" s="12" t="s">
        <v>4</v>
      </c>
      <c r="O167" t="str">
        <f t="shared" si="4"/>
        <v>INSERT INTO s_inventory VALUES('50418','201',98,60,100,'NULL',NULL);</v>
      </c>
    </row>
    <row r="168" spans="1:15" x14ac:dyDescent="0.3">
      <c r="A168" s="5">
        <v>50418</v>
      </c>
      <c r="B168">
        <v>401</v>
      </c>
      <c r="C168">
        <v>156</v>
      </c>
      <c r="D168">
        <v>100</v>
      </c>
      <c r="E168">
        <v>175</v>
      </c>
      <c r="F168" t="s">
        <v>4</v>
      </c>
      <c r="G168" s="12" t="s">
        <v>4</v>
      </c>
      <c r="O168" t="str">
        <f t="shared" si="4"/>
        <v>INSERT INTO s_inventory VALUES('50418','401',156,100,175,'NULL',NULL);</v>
      </c>
    </row>
    <row r="169" spans="1:15" x14ac:dyDescent="0.3">
      <c r="A169" s="5">
        <v>50419</v>
      </c>
      <c r="B169">
        <v>101</v>
      </c>
      <c r="C169">
        <v>230</v>
      </c>
      <c r="D169">
        <v>120</v>
      </c>
      <c r="E169">
        <v>310</v>
      </c>
      <c r="F169" t="s">
        <v>4</v>
      </c>
      <c r="G169" s="12" t="s">
        <v>4</v>
      </c>
      <c r="O169" t="str">
        <f t="shared" si="4"/>
        <v>INSERT INTO s_inventory VALUES('50419','101',230,120,310,'NULL',NULL);</v>
      </c>
    </row>
    <row r="170" spans="1:15" x14ac:dyDescent="0.3">
      <c r="A170" s="5">
        <v>50419</v>
      </c>
      <c r="B170">
        <v>201</v>
      </c>
      <c r="C170">
        <v>77</v>
      </c>
      <c r="D170">
        <v>60</v>
      </c>
      <c r="E170">
        <v>100</v>
      </c>
      <c r="F170" t="s">
        <v>4</v>
      </c>
      <c r="G170" s="12" t="s">
        <v>4</v>
      </c>
      <c r="O170" t="str">
        <f t="shared" si="4"/>
        <v>INSERT INTO s_inventory VALUES('50419','201',77,60,100,'NULL',NULL);</v>
      </c>
    </row>
    <row r="171" spans="1:15" x14ac:dyDescent="0.3">
      <c r="A171" s="5">
        <v>50419</v>
      </c>
      <c r="B171">
        <v>401</v>
      </c>
      <c r="C171">
        <v>151</v>
      </c>
      <c r="D171">
        <v>150</v>
      </c>
      <c r="E171">
        <v>280</v>
      </c>
      <c r="F171" t="s">
        <v>4</v>
      </c>
      <c r="G171" s="12" t="s">
        <v>4</v>
      </c>
      <c r="O171" t="str">
        <f t="shared" si="4"/>
        <v>INSERT INTO s_inventory VALUES('50419','401',151,150,280,'NULL',NULL);</v>
      </c>
    </row>
    <row r="172" spans="1:15" x14ac:dyDescent="0.3">
      <c r="A172" s="5">
        <v>50530</v>
      </c>
      <c r="B172">
        <v>101</v>
      </c>
      <c r="C172">
        <v>669</v>
      </c>
      <c r="D172">
        <v>400</v>
      </c>
      <c r="E172">
        <v>700</v>
      </c>
      <c r="F172" t="s">
        <v>4</v>
      </c>
      <c r="G172" s="12" t="s">
        <v>4</v>
      </c>
      <c r="O172" t="str">
        <f t="shared" si="4"/>
        <v>INSERT INTO s_inventory VALUES('50530','101',669,400,700,'NULL',NULL);</v>
      </c>
    </row>
    <row r="173" spans="1:15" x14ac:dyDescent="0.3">
      <c r="A173" s="5">
        <v>50530</v>
      </c>
      <c r="B173">
        <v>201</v>
      </c>
      <c r="C173">
        <v>62</v>
      </c>
      <c r="D173">
        <v>60</v>
      </c>
      <c r="E173">
        <v>100</v>
      </c>
      <c r="F173" t="s">
        <v>4</v>
      </c>
      <c r="G173" s="12" t="s">
        <v>4</v>
      </c>
      <c r="O173" t="str">
        <f t="shared" si="4"/>
        <v>INSERT INTO s_inventory VALUES('50530','201',62,60,100,'NULL',NULL);</v>
      </c>
    </row>
    <row r="174" spans="1:15" x14ac:dyDescent="0.3">
      <c r="A174" s="5">
        <v>50530</v>
      </c>
      <c r="B174">
        <v>401</v>
      </c>
      <c r="C174">
        <v>119</v>
      </c>
      <c r="D174">
        <v>100</v>
      </c>
      <c r="E174">
        <v>175</v>
      </c>
      <c r="F174" t="s">
        <v>4</v>
      </c>
      <c r="G174" s="12" t="s">
        <v>4</v>
      </c>
      <c r="O174" t="str">
        <f t="shared" si="4"/>
        <v>INSERT INTO s_inventory VALUES('50530','401',119,100,175,'NULL',NULL);</v>
      </c>
    </row>
    <row r="175" spans="1:15" x14ac:dyDescent="0.3">
      <c r="A175" s="5">
        <v>50532</v>
      </c>
      <c r="B175">
        <v>101</v>
      </c>
      <c r="C175">
        <v>0</v>
      </c>
      <c r="D175">
        <v>100</v>
      </c>
      <c r="E175">
        <v>175</v>
      </c>
      <c r="F175" t="s">
        <v>200</v>
      </c>
      <c r="G175" s="12" t="s">
        <v>202</v>
      </c>
      <c r="O175" t="str">
        <f t="shared" si="4"/>
        <v>INSERT INTO s_inventory VALUES('50532','101',0,100,175,'Wait for Spring.','1993-04-12 00:00:00.000');</v>
      </c>
    </row>
    <row r="176" spans="1:15" x14ac:dyDescent="0.3">
      <c r="A176" s="5">
        <v>50532</v>
      </c>
      <c r="B176">
        <v>201</v>
      </c>
      <c r="C176">
        <v>67</v>
      </c>
      <c r="D176">
        <v>60</v>
      </c>
      <c r="E176">
        <v>100</v>
      </c>
      <c r="F176" t="s">
        <v>4</v>
      </c>
      <c r="G176" s="12" t="s">
        <v>4</v>
      </c>
      <c r="O176" t="str">
        <f t="shared" si="4"/>
        <v>INSERT INTO s_inventory VALUES('50532','201',67,60,100,'NULL',NULL);</v>
      </c>
    </row>
    <row r="177" spans="1:15" x14ac:dyDescent="0.3">
      <c r="A177" s="5">
        <v>50532</v>
      </c>
      <c r="B177">
        <v>401</v>
      </c>
      <c r="C177">
        <v>233</v>
      </c>
      <c r="D177">
        <v>200</v>
      </c>
      <c r="E177">
        <v>350</v>
      </c>
      <c r="F177" t="s">
        <v>4</v>
      </c>
      <c r="G177" s="12" t="s">
        <v>4</v>
      </c>
      <c r="O177" t="str">
        <f t="shared" si="4"/>
        <v>INSERT INTO s_inventory VALUES('50532','401',233,200,350,'NULL',NULL);</v>
      </c>
    </row>
    <row r="178" spans="1:15" x14ac:dyDescent="0.3">
      <c r="A178" s="5">
        <v>50536</v>
      </c>
      <c r="B178">
        <v>101</v>
      </c>
      <c r="C178">
        <v>173</v>
      </c>
      <c r="D178">
        <v>100</v>
      </c>
      <c r="E178">
        <v>175</v>
      </c>
      <c r="F178" t="s">
        <v>4</v>
      </c>
      <c r="G178" s="12" t="s">
        <v>4</v>
      </c>
      <c r="O178" t="str">
        <f t="shared" si="4"/>
        <v>INSERT INTO s_inventory VALUES('50536','101',173,100,175,'NULL',NULL);</v>
      </c>
    </row>
    <row r="179" spans="1:15" x14ac:dyDescent="0.3">
      <c r="A179" s="5">
        <v>50536</v>
      </c>
      <c r="B179">
        <v>201</v>
      </c>
      <c r="C179">
        <v>97</v>
      </c>
      <c r="D179">
        <v>60</v>
      </c>
      <c r="E179">
        <v>100</v>
      </c>
      <c r="F179" t="s">
        <v>4</v>
      </c>
      <c r="G179" s="12" t="s">
        <v>4</v>
      </c>
      <c r="O179" t="str">
        <f t="shared" si="4"/>
        <v>INSERT INTO s_inventory VALUES('50536','201',97,60,100,'NULL',NULL);</v>
      </c>
    </row>
    <row r="180" spans="1:15" x14ac:dyDescent="0.3">
      <c r="A180" s="7">
        <v>50536</v>
      </c>
      <c r="B180" s="8">
        <v>401</v>
      </c>
      <c r="C180" s="8">
        <v>138</v>
      </c>
      <c r="D180" s="8">
        <v>100</v>
      </c>
      <c r="E180" s="8">
        <v>175</v>
      </c>
      <c r="F180" s="8" t="s">
        <v>4</v>
      </c>
      <c r="G180" s="13" t="s">
        <v>4</v>
      </c>
      <c r="O180" t="str">
        <f t="shared" si="4"/>
        <v>INSERT INTO s_inventory VALUES('50536','401',138,100,175,'NULL',NULL);</v>
      </c>
    </row>
    <row r="182" spans="1:15" x14ac:dyDescent="0.3">
      <c r="A182" s="1" t="s">
        <v>203</v>
      </c>
    </row>
    <row r="183" spans="1:15" x14ac:dyDescent="0.3">
      <c r="A183" s="2">
        <v>1</v>
      </c>
      <c r="B183" s="3">
        <v>135</v>
      </c>
      <c r="C183" s="3">
        <v>500</v>
      </c>
      <c r="D183" s="3">
        <v>500</v>
      </c>
      <c r="E183" s="3">
        <v>100</v>
      </c>
      <c r="F183" s="4">
        <v>10011</v>
      </c>
      <c r="O183" t="str">
        <f>"INSERT INTO s_item VALUES('"&amp;A183&amp;"', '"&amp;B183&amp;"', '"&amp;C183&amp;"', '"&amp;D183&amp;"', '"&amp;E183&amp;"', '"&amp;F183&amp;"');"</f>
        <v>INSERT INTO s_item VALUES('1', '135', '500', '500', '100', '10011');</v>
      </c>
    </row>
    <row r="184" spans="1:15" x14ac:dyDescent="0.3">
      <c r="A184" s="5">
        <v>1</v>
      </c>
      <c r="B184">
        <v>16</v>
      </c>
      <c r="C184">
        <v>15</v>
      </c>
      <c r="D184">
        <v>15</v>
      </c>
      <c r="E184">
        <v>101</v>
      </c>
      <c r="F184" s="6">
        <v>30421</v>
      </c>
      <c r="O184" t="str">
        <f t="shared" ref="O184:O244" si="5">"INSERT INTO s_item VALUES('"&amp;A184&amp;"', '"&amp;B184&amp;"', '"&amp;C184&amp;"', '"&amp;D184&amp;"', '"&amp;E184&amp;"', '"&amp;F184&amp;"');"</f>
        <v>INSERT INTO s_item VALUES('1', '16', '15', '15', '101', '30421');</v>
      </c>
    </row>
    <row r="185" spans="1:15" x14ac:dyDescent="0.3">
      <c r="A185" s="5">
        <v>1</v>
      </c>
      <c r="B185">
        <v>28</v>
      </c>
      <c r="C185">
        <v>100</v>
      </c>
      <c r="D185">
        <v>100</v>
      </c>
      <c r="E185">
        <v>102</v>
      </c>
      <c r="F185" s="6">
        <v>20108</v>
      </c>
      <c r="O185" t="str">
        <f t="shared" si="5"/>
        <v>INSERT INTO s_item VALUES('1', '28', '100', '100', '102', '20108');</v>
      </c>
    </row>
    <row r="186" spans="1:15" x14ac:dyDescent="0.3">
      <c r="A186" s="5">
        <v>1</v>
      </c>
      <c r="B186">
        <v>20</v>
      </c>
      <c r="C186">
        <v>15</v>
      </c>
      <c r="D186">
        <v>15</v>
      </c>
      <c r="E186">
        <v>103</v>
      </c>
      <c r="F186" s="6">
        <v>30433</v>
      </c>
      <c r="O186" t="str">
        <f t="shared" si="5"/>
        <v>INSERT INTO s_item VALUES('1', '20', '15', '15', '103', '30433');</v>
      </c>
    </row>
    <row r="187" spans="1:15" x14ac:dyDescent="0.3">
      <c r="A187" s="5">
        <v>1</v>
      </c>
      <c r="B187">
        <v>9</v>
      </c>
      <c r="C187">
        <v>7</v>
      </c>
      <c r="D187">
        <v>7</v>
      </c>
      <c r="E187">
        <v>104</v>
      </c>
      <c r="F187" s="6">
        <v>20510</v>
      </c>
      <c r="O187" t="str">
        <f t="shared" si="5"/>
        <v>INSERT INTO s_item VALUES('1', '9', '7', '7', '104', '20510');</v>
      </c>
    </row>
    <row r="188" spans="1:15" x14ac:dyDescent="0.3">
      <c r="A188" s="5">
        <v>1</v>
      </c>
      <c r="B188" t="s">
        <v>376</v>
      </c>
      <c r="C188">
        <v>16</v>
      </c>
      <c r="D188">
        <v>16</v>
      </c>
      <c r="E188">
        <v>105</v>
      </c>
      <c r="F188" s="6">
        <v>50273</v>
      </c>
      <c r="O188" t="str">
        <f t="shared" si="5"/>
        <v>INSERT INTO s_item VALUES('1', '22.89', '16', '16', '105', '50273');</v>
      </c>
    </row>
    <row r="189" spans="1:15" x14ac:dyDescent="0.3">
      <c r="A189" s="5">
        <v>1</v>
      </c>
      <c r="B189">
        <v>28</v>
      </c>
      <c r="C189">
        <v>46</v>
      </c>
      <c r="D189">
        <v>46</v>
      </c>
      <c r="E189">
        <v>106</v>
      </c>
      <c r="F189" s="6">
        <v>20108</v>
      </c>
      <c r="O189" t="str">
        <f t="shared" si="5"/>
        <v>INSERT INTO s_item VALUES('1', '28', '46', '46', '106', '20108');</v>
      </c>
    </row>
    <row r="190" spans="1:15" x14ac:dyDescent="0.3">
      <c r="A190" s="5">
        <v>1</v>
      </c>
      <c r="B190">
        <v>11</v>
      </c>
      <c r="C190">
        <v>50</v>
      </c>
      <c r="D190">
        <v>50</v>
      </c>
      <c r="E190">
        <v>107</v>
      </c>
      <c r="F190" s="6">
        <v>20106</v>
      </c>
      <c r="O190" t="str">
        <f t="shared" si="5"/>
        <v>INSERT INTO s_item VALUES('1', '11', '50', '50', '107', '20106');</v>
      </c>
    </row>
    <row r="191" spans="1:15" x14ac:dyDescent="0.3">
      <c r="A191" s="5">
        <v>1</v>
      </c>
      <c r="B191">
        <v>9</v>
      </c>
      <c r="C191">
        <v>9</v>
      </c>
      <c r="D191">
        <v>9</v>
      </c>
      <c r="E191">
        <v>108</v>
      </c>
      <c r="F191" s="6">
        <v>20510</v>
      </c>
      <c r="O191" t="str">
        <f t="shared" si="5"/>
        <v>INSERT INTO s_item VALUES('1', '9', '9', '9', '108', '20510');</v>
      </c>
    </row>
    <row r="192" spans="1:15" x14ac:dyDescent="0.3">
      <c r="A192" s="5">
        <v>1</v>
      </c>
      <c r="B192">
        <v>140</v>
      </c>
      <c r="C192">
        <v>150</v>
      </c>
      <c r="D192">
        <v>150</v>
      </c>
      <c r="E192">
        <v>109</v>
      </c>
      <c r="F192" s="6">
        <v>10011</v>
      </c>
      <c r="O192" t="str">
        <f t="shared" si="5"/>
        <v>INSERT INTO s_item VALUES('1', '140', '150', '150', '109', '10011');</v>
      </c>
    </row>
    <row r="193" spans="1:15" x14ac:dyDescent="0.3">
      <c r="A193" s="5">
        <v>1</v>
      </c>
      <c r="B193" t="s">
        <v>376</v>
      </c>
      <c r="C193">
        <v>17</v>
      </c>
      <c r="D193">
        <v>17</v>
      </c>
      <c r="E193">
        <v>110</v>
      </c>
      <c r="F193" s="6">
        <v>50273</v>
      </c>
      <c r="O193" t="str">
        <f t="shared" si="5"/>
        <v>INSERT INTO s_item VALUES('1', '22.89', '17', '17', '110', '50273');</v>
      </c>
    </row>
    <row r="194" spans="1:15" x14ac:dyDescent="0.3">
      <c r="A194" s="5">
        <v>1</v>
      </c>
      <c r="B194">
        <v>65</v>
      </c>
      <c r="C194">
        <v>27</v>
      </c>
      <c r="D194">
        <v>27</v>
      </c>
      <c r="E194">
        <v>111</v>
      </c>
      <c r="F194" s="6">
        <v>40421</v>
      </c>
      <c r="O194" t="str">
        <f t="shared" si="5"/>
        <v>INSERT INTO s_item VALUES('1', '65', '27', '27', '111', '40421');</v>
      </c>
    </row>
    <row r="195" spans="1:15" x14ac:dyDescent="0.3">
      <c r="A195" s="5">
        <v>1</v>
      </c>
      <c r="B195">
        <v>11</v>
      </c>
      <c r="C195">
        <v>50</v>
      </c>
      <c r="D195">
        <v>50</v>
      </c>
      <c r="E195">
        <v>112</v>
      </c>
      <c r="F195" s="6">
        <v>20106</v>
      </c>
      <c r="O195" t="str">
        <f t="shared" si="5"/>
        <v>INSERT INTO s_item VALUES('1', '11', '50', '50', '112', '20106');</v>
      </c>
    </row>
    <row r="196" spans="1:15" x14ac:dyDescent="0.3">
      <c r="A196" s="5">
        <v>1</v>
      </c>
      <c r="B196">
        <v>9</v>
      </c>
      <c r="C196">
        <v>1000</v>
      </c>
      <c r="D196">
        <v>1000</v>
      </c>
      <c r="E196">
        <v>97</v>
      </c>
      <c r="F196" s="6">
        <v>20106</v>
      </c>
      <c r="O196" t="str">
        <f t="shared" si="5"/>
        <v>INSERT INTO s_item VALUES('1', '9', '1000', '1000', '97', '20106');</v>
      </c>
    </row>
    <row r="197" spans="1:15" x14ac:dyDescent="0.3">
      <c r="A197" s="5">
        <v>1</v>
      </c>
      <c r="B197">
        <v>85</v>
      </c>
      <c r="C197">
        <v>7</v>
      </c>
      <c r="D197">
        <v>7</v>
      </c>
      <c r="E197">
        <v>98</v>
      </c>
      <c r="F197" s="6">
        <v>40421</v>
      </c>
      <c r="O197" t="str">
        <f t="shared" si="5"/>
        <v>INSERT INTO s_item VALUES('1', '85', '7', '7', '98', '40421');</v>
      </c>
    </row>
    <row r="198" spans="1:15" x14ac:dyDescent="0.3">
      <c r="A198" s="5">
        <v>1</v>
      </c>
      <c r="B198">
        <v>9</v>
      </c>
      <c r="C198">
        <v>18</v>
      </c>
      <c r="D198">
        <v>18</v>
      </c>
      <c r="E198">
        <v>99</v>
      </c>
      <c r="F198" s="6">
        <v>20510</v>
      </c>
      <c r="O198" t="str">
        <f t="shared" si="5"/>
        <v>INSERT INTO s_item VALUES('1', '9', '18', '18', '99', '20510');</v>
      </c>
    </row>
    <row r="199" spans="1:15" x14ac:dyDescent="0.3">
      <c r="A199" s="5">
        <v>2</v>
      </c>
      <c r="B199">
        <v>380</v>
      </c>
      <c r="C199">
        <v>400</v>
      </c>
      <c r="D199">
        <v>400</v>
      </c>
      <c r="E199">
        <v>100</v>
      </c>
      <c r="F199" s="6">
        <v>10013</v>
      </c>
      <c r="O199" t="str">
        <f t="shared" si="5"/>
        <v>INSERT INTO s_item VALUES('2', '380', '400', '400', '100', '10013');</v>
      </c>
    </row>
    <row r="200" spans="1:15" x14ac:dyDescent="0.3">
      <c r="A200" s="5">
        <v>2</v>
      </c>
      <c r="B200">
        <v>50</v>
      </c>
      <c r="C200">
        <v>30</v>
      </c>
      <c r="D200">
        <v>30</v>
      </c>
      <c r="E200">
        <v>101</v>
      </c>
      <c r="F200" s="6">
        <v>40422</v>
      </c>
      <c r="O200" t="str">
        <f t="shared" si="5"/>
        <v>INSERT INTO s_item VALUES('2', '50', '30', '30', '101', '40422');</v>
      </c>
    </row>
    <row r="201" spans="1:15" x14ac:dyDescent="0.3">
      <c r="A201" s="5">
        <v>2</v>
      </c>
      <c r="B201">
        <v>123</v>
      </c>
      <c r="C201">
        <v>45</v>
      </c>
      <c r="D201">
        <v>45</v>
      </c>
      <c r="E201">
        <v>102</v>
      </c>
      <c r="F201" s="6">
        <v>20201</v>
      </c>
      <c r="O201" t="str">
        <f t="shared" si="5"/>
        <v>INSERT INTO s_item VALUES('2', '123', '45', '45', '102', '20201');</v>
      </c>
    </row>
    <row r="202" spans="1:15" x14ac:dyDescent="0.3">
      <c r="A202" s="5">
        <v>2</v>
      </c>
      <c r="B202">
        <v>7</v>
      </c>
      <c r="C202">
        <v>11</v>
      </c>
      <c r="D202">
        <v>11</v>
      </c>
      <c r="E202">
        <v>103</v>
      </c>
      <c r="F202" s="6">
        <v>32779</v>
      </c>
      <c r="O202" t="str">
        <f t="shared" si="5"/>
        <v>INSERT INTO s_item VALUES('2', '7', '11', '11', '103', '32779');</v>
      </c>
    </row>
    <row r="203" spans="1:15" x14ac:dyDescent="0.3">
      <c r="A203" s="5">
        <v>2</v>
      </c>
      <c r="B203">
        <v>8</v>
      </c>
      <c r="C203">
        <v>12</v>
      </c>
      <c r="D203">
        <v>12</v>
      </c>
      <c r="E203">
        <v>104</v>
      </c>
      <c r="F203" s="6">
        <v>20512</v>
      </c>
      <c r="O203" t="str">
        <f t="shared" si="5"/>
        <v>INSERT INTO s_item VALUES('2', '8', '12', '12', '104', '20512');</v>
      </c>
    </row>
    <row r="204" spans="1:15" x14ac:dyDescent="0.3">
      <c r="A204" s="5">
        <v>2</v>
      </c>
      <c r="B204">
        <v>80</v>
      </c>
      <c r="C204">
        <v>13</v>
      </c>
      <c r="D204">
        <v>13</v>
      </c>
      <c r="E204">
        <v>105</v>
      </c>
      <c r="F204" s="6">
        <v>50419</v>
      </c>
      <c r="O204" t="str">
        <f t="shared" si="5"/>
        <v>INSERT INTO s_item VALUES('2', '80', '13', '13', '105', '50419');</v>
      </c>
    </row>
    <row r="205" spans="1:15" x14ac:dyDescent="0.3">
      <c r="A205" s="5">
        <v>2</v>
      </c>
      <c r="B205">
        <v>123</v>
      </c>
      <c r="C205">
        <v>21</v>
      </c>
      <c r="D205">
        <v>21</v>
      </c>
      <c r="E205">
        <v>106</v>
      </c>
      <c r="F205" s="6">
        <v>20201</v>
      </c>
      <c r="O205" t="str">
        <f t="shared" si="5"/>
        <v>INSERT INTO s_item VALUES('2', '123', '21', '21', '106', '20201');</v>
      </c>
    </row>
    <row r="206" spans="1:15" x14ac:dyDescent="0.3">
      <c r="A206" s="5">
        <v>2</v>
      </c>
      <c r="B206">
        <v>28</v>
      </c>
      <c r="C206">
        <v>22</v>
      </c>
      <c r="D206">
        <v>22</v>
      </c>
      <c r="E206">
        <v>107</v>
      </c>
      <c r="F206" s="6">
        <v>20108</v>
      </c>
      <c r="O206" t="str">
        <f t="shared" si="5"/>
        <v>INSERT INTO s_item VALUES('2', '28', '22', '22', '107', '20108');</v>
      </c>
    </row>
    <row r="207" spans="1:15" x14ac:dyDescent="0.3">
      <c r="A207" s="5">
        <v>2</v>
      </c>
      <c r="B207">
        <v>8</v>
      </c>
      <c r="C207">
        <v>18</v>
      </c>
      <c r="D207">
        <v>18</v>
      </c>
      <c r="E207">
        <v>108</v>
      </c>
      <c r="F207" s="6">
        <v>20512</v>
      </c>
      <c r="O207" t="str">
        <f t="shared" si="5"/>
        <v>INSERT INTO s_item VALUES('2', '8', '18', '18', '108', '20512');</v>
      </c>
    </row>
    <row r="208" spans="1:15" x14ac:dyDescent="0.3">
      <c r="A208" s="5">
        <v>2</v>
      </c>
      <c r="B208">
        <v>175</v>
      </c>
      <c r="C208">
        <v>600</v>
      </c>
      <c r="D208">
        <v>600</v>
      </c>
      <c r="E208">
        <v>109</v>
      </c>
      <c r="F208" s="6">
        <v>10012</v>
      </c>
      <c r="O208" t="str">
        <f t="shared" si="5"/>
        <v>INSERT INTO s_item VALUES('2', '175', '600', '600', '109', '10012');</v>
      </c>
    </row>
    <row r="209" spans="1:15" x14ac:dyDescent="0.3">
      <c r="A209" s="5">
        <v>2</v>
      </c>
      <c r="B209">
        <v>50</v>
      </c>
      <c r="C209">
        <v>23</v>
      </c>
      <c r="D209">
        <v>23</v>
      </c>
      <c r="E209">
        <v>110</v>
      </c>
      <c r="F209" s="6">
        <v>50536</v>
      </c>
      <c r="O209" t="str">
        <f t="shared" si="5"/>
        <v>INSERT INTO s_item VALUES('2', '50', '23', '23', '110', '50536');</v>
      </c>
    </row>
    <row r="210" spans="1:15" x14ac:dyDescent="0.3">
      <c r="A210" s="5">
        <v>2</v>
      </c>
      <c r="B210">
        <v>35</v>
      </c>
      <c r="C210">
        <v>29</v>
      </c>
      <c r="D210">
        <v>29</v>
      </c>
      <c r="E210">
        <v>111</v>
      </c>
      <c r="F210" s="6">
        <v>41080</v>
      </c>
      <c r="O210" t="str">
        <f t="shared" si="5"/>
        <v>INSERT INTO s_item VALUES('2', '35', '29', '29', '111', '41080');</v>
      </c>
    </row>
    <row r="211" spans="1:15" x14ac:dyDescent="0.3">
      <c r="A211" s="5">
        <v>2</v>
      </c>
      <c r="B211">
        <v>1500</v>
      </c>
      <c r="C211">
        <v>50</v>
      </c>
      <c r="D211">
        <v>50</v>
      </c>
      <c r="E211">
        <v>97</v>
      </c>
      <c r="F211" s="6">
        <v>30321</v>
      </c>
      <c r="O211" t="str">
        <f t="shared" si="5"/>
        <v>INSERT INTO s_item VALUES('2', '1500', '50', '50', '97', '30321');</v>
      </c>
    </row>
    <row r="212" spans="1:15" x14ac:dyDescent="0.3">
      <c r="A212" s="5">
        <v>2</v>
      </c>
      <c r="B212">
        <v>8</v>
      </c>
      <c r="C212">
        <v>25</v>
      </c>
      <c r="D212">
        <v>25</v>
      </c>
      <c r="E212">
        <v>99</v>
      </c>
      <c r="F212" s="6">
        <v>20512</v>
      </c>
      <c r="O212" t="str">
        <f t="shared" si="5"/>
        <v>INSERT INTO s_item VALUES('2', '8', '25', '25', '99', '20512');</v>
      </c>
    </row>
    <row r="213" spans="1:15" x14ac:dyDescent="0.3">
      <c r="A213" s="5">
        <v>3</v>
      </c>
      <c r="B213">
        <v>14</v>
      </c>
      <c r="C213">
        <v>500</v>
      </c>
      <c r="D213">
        <v>500</v>
      </c>
      <c r="E213">
        <v>100</v>
      </c>
      <c r="F213" s="6">
        <v>10021</v>
      </c>
      <c r="O213" t="str">
        <f t="shared" si="5"/>
        <v>INSERT INTO s_item VALUES('3', '14', '500', '500', '100', '10021');</v>
      </c>
    </row>
    <row r="214" spans="1:15" x14ac:dyDescent="0.3">
      <c r="A214" s="5">
        <v>3</v>
      </c>
      <c r="B214">
        <v>8</v>
      </c>
      <c r="C214">
        <v>20</v>
      </c>
      <c r="D214">
        <v>20</v>
      </c>
      <c r="E214">
        <v>101</v>
      </c>
      <c r="F214" s="6">
        <v>41010</v>
      </c>
      <c r="O214" t="str">
        <f t="shared" si="5"/>
        <v>INSERT INTO s_item VALUES('3', '8', '20', '20', '101', '41010');</v>
      </c>
    </row>
    <row r="215" spans="1:15" x14ac:dyDescent="0.3">
      <c r="A215" s="5">
        <v>3</v>
      </c>
      <c r="B215">
        <v>1669</v>
      </c>
      <c r="C215">
        <v>19</v>
      </c>
      <c r="D215">
        <v>19</v>
      </c>
      <c r="E215">
        <v>104</v>
      </c>
      <c r="F215" s="6">
        <v>30321</v>
      </c>
      <c r="O215" t="str">
        <f t="shared" si="5"/>
        <v>INSERT INTO s_item VALUES('3', '1669', '19', '19', '104', '30321');</v>
      </c>
    </row>
    <row r="216" spans="1:15" x14ac:dyDescent="0.3">
      <c r="A216" s="5">
        <v>3</v>
      </c>
      <c r="B216">
        <v>47</v>
      </c>
      <c r="C216">
        <v>28</v>
      </c>
      <c r="D216">
        <v>28</v>
      </c>
      <c r="E216">
        <v>105</v>
      </c>
      <c r="F216" s="6">
        <v>50532</v>
      </c>
      <c r="O216" t="str">
        <f t="shared" si="5"/>
        <v>INSERT INTO s_item VALUES('3', '47', '28', '28', '105', '50532');</v>
      </c>
    </row>
    <row r="217" spans="1:15" x14ac:dyDescent="0.3">
      <c r="A217" s="5">
        <v>3</v>
      </c>
      <c r="B217" t="s">
        <v>374</v>
      </c>
      <c r="C217">
        <v>125</v>
      </c>
      <c r="D217">
        <v>125</v>
      </c>
      <c r="E217">
        <v>106</v>
      </c>
      <c r="F217" s="6">
        <v>50169</v>
      </c>
      <c r="O217" t="str">
        <f t="shared" si="5"/>
        <v>INSERT INTO s_item VALUES('3', '4.29', '125', '125', '106', '50169');</v>
      </c>
    </row>
    <row r="218" spans="1:15" x14ac:dyDescent="0.3">
      <c r="A218" s="5">
        <v>3</v>
      </c>
      <c r="B218">
        <v>115</v>
      </c>
      <c r="C218">
        <v>130</v>
      </c>
      <c r="D218">
        <v>130</v>
      </c>
      <c r="E218">
        <v>107</v>
      </c>
      <c r="F218" s="6">
        <v>20201</v>
      </c>
      <c r="O218" t="str">
        <f t="shared" si="5"/>
        <v>INSERT INTO s_item VALUES('3', '115', '130', '130', '107', '20201');</v>
      </c>
    </row>
    <row r="219" spans="1:15" x14ac:dyDescent="0.3">
      <c r="A219" s="5">
        <v>3</v>
      </c>
      <c r="B219">
        <v>1669</v>
      </c>
      <c r="C219">
        <v>85</v>
      </c>
      <c r="D219">
        <v>85</v>
      </c>
      <c r="E219">
        <v>108</v>
      </c>
      <c r="F219" s="6">
        <v>30321</v>
      </c>
      <c r="O219" t="str">
        <f t="shared" si="5"/>
        <v>INSERT INTO s_item VALUES('3', '1669', '85', '85', '108', '30321');</v>
      </c>
    </row>
    <row r="220" spans="1:15" x14ac:dyDescent="0.3">
      <c r="A220" s="5">
        <v>3</v>
      </c>
      <c r="B220" t="s">
        <v>333</v>
      </c>
      <c r="C220">
        <v>300</v>
      </c>
      <c r="D220">
        <v>300</v>
      </c>
      <c r="E220">
        <v>109</v>
      </c>
      <c r="F220" s="6">
        <v>10022</v>
      </c>
      <c r="O220" t="str">
        <f t="shared" si="5"/>
        <v>INSERT INTO s_item VALUES('3', '21.95', '300', '300', '109', '10022');</v>
      </c>
    </row>
    <row r="221" spans="1:15" x14ac:dyDescent="0.3">
      <c r="A221" s="5">
        <v>3</v>
      </c>
      <c r="B221">
        <v>80</v>
      </c>
      <c r="C221">
        <v>53</v>
      </c>
      <c r="D221">
        <v>53</v>
      </c>
      <c r="E221">
        <v>99</v>
      </c>
      <c r="F221" s="6">
        <v>50417</v>
      </c>
      <c r="O221" t="str">
        <f t="shared" si="5"/>
        <v>INSERT INTO s_item VALUES('3', '80', '53', '53', '99', '50417');</v>
      </c>
    </row>
    <row r="222" spans="1:15" x14ac:dyDescent="0.3">
      <c r="A222" s="5">
        <v>4</v>
      </c>
      <c r="B222">
        <v>36</v>
      </c>
      <c r="C222">
        <v>400</v>
      </c>
      <c r="D222">
        <v>400</v>
      </c>
      <c r="E222">
        <v>100</v>
      </c>
      <c r="F222" s="6">
        <v>10023</v>
      </c>
      <c r="O222" t="str">
        <f t="shared" si="5"/>
        <v>INSERT INTO s_item VALUES('4', '36', '400', '400', '100', '10023');</v>
      </c>
    </row>
    <row r="223" spans="1:15" x14ac:dyDescent="0.3">
      <c r="A223" s="5">
        <v>4</v>
      </c>
      <c r="B223">
        <v>45</v>
      </c>
      <c r="C223">
        <v>35</v>
      </c>
      <c r="D223">
        <v>35</v>
      </c>
      <c r="E223">
        <v>101</v>
      </c>
      <c r="F223" s="6">
        <v>41100</v>
      </c>
      <c r="O223" t="str">
        <f t="shared" si="5"/>
        <v>INSERT INTO s_item VALUES('4', '45', '35', '35', '101', '41100');</v>
      </c>
    </row>
    <row r="224" spans="1:15" x14ac:dyDescent="0.3">
      <c r="A224" s="5">
        <v>4</v>
      </c>
      <c r="B224">
        <v>16</v>
      </c>
      <c r="C224">
        <v>35</v>
      </c>
      <c r="D224">
        <v>35</v>
      </c>
      <c r="E224">
        <v>104</v>
      </c>
      <c r="F224" s="6">
        <v>30421</v>
      </c>
      <c r="O224" t="str">
        <f t="shared" si="5"/>
        <v>INSERT INTO s_item VALUES('4', '16', '35', '35', '104', '30421');</v>
      </c>
    </row>
    <row r="225" spans="1:15" x14ac:dyDescent="0.3">
      <c r="A225" s="5">
        <v>4</v>
      </c>
      <c r="B225" t="s">
        <v>376</v>
      </c>
      <c r="C225">
        <v>75</v>
      </c>
      <c r="D225">
        <v>75</v>
      </c>
      <c r="E225">
        <v>106</v>
      </c>
      <c r="F225" s="6">
        <v>50273</v>
      </c>
      <c r="O225" t="str">
        <f t="shared" si="5"/>
        <v>INSERT INTO s_item VALUES('4', '22.89', '75', '75', '106', '50273');</v>
      </c>
    </row>
    <row r="226" spans="1:15" x14ac:dyDescent="0.3">
      <c r="A226" s="5">
        <v>4</v>
      </c>
      <c r="B226">
        <v>1669</v>
      </c>
      <c r="C226">
        <v>75</v>
      </c>
      <c r="D226">
        <v>75</v>
      </c>
      <c r="E226">
        <v>107</v>
      </c>
      <c r="F226" s="6">
        <v>30321</v>
      </c>
      <c r="O226" t="str">
        <f t="shared" si="5"/>
        <v>INSERT INTO s_item VALUES('4', '1669', '75', '75', '107', '30321');</v>
      </c>
    </row>
    <row r="227" spans="1:15" x14ac:dyDescent="0.3">
      <c r="A227" s="5">
        <v>4</v>
      </c>
      <c r="B227">
        <v>7</v>
      </c>
      <c r="C227">
        <v>60</v>
      </c>
      <c r="D227">
        <v>60</v>
      </c>
      <c r="E227">
        <v>108</v>
      </c>
      <c r="F227" s="6">
        <v>32779</v>
      </c>
      <c r="O227" t="str">
        <f t="shared" si="5"/>
        <v>INSERT INTO s_item VALUES('4', '7', '60', '60', '108', '32779');</v>
      </c>
    </row>
    <row r="228" spans="1:15" x14ac:dyDescent="0.3">
      <c r="A228" s="5">
        <v>4</v>
      </c>
      <c r="B228">
        <v>582</v>
      </c>
      <c r="C228">
        <v>1500</v>
      </c>
      <c r="D228">
        <v>1500</v>
      </c>
      <c r="E228">
        <v>109</v>
      </c>
      <c r="F228" s="6">
        <v>30326</v>
      </c>
      <c r="O228" t="str">
        <f t="shared" si="5"/>
        <v>INSERT INTO s_item VALUES('4', '582', '1500', '1500', '109', '30326');</v>
      </c>
    </row>
    <row r="229" spans="1:15" x14ac:dyDescent="0.3">
      <c r="A229" s="5">
        <v>4</v>
      </c>
      <c r="B229">
        <v>45</v>
      </c>
      <c r="C229">
        <v>69</v>
      </c>
      <c r="D229">
        <v>69</v>
      </c>
      <c r="E229">
        <v>99</v>
      </c>
      <c r="F229" s="6">
        <v>50530</v>
      </c>
      <c r="O229" t="str">
        <f t="shared" si="5"/>
        <v>INSERT INTO s_item VALUES('4', '45', '69', '69', '99', '50530');</v>
      </c>
    </row>
    <row r="230" spans="1:15" x14ac:dyDescent="0.3">
      <c r="A230" s="5">
        <v>5</v>
      </c>
      <c r="B230">
        <v>582</v>
      </c>
      <c r="C230">
        <v>600</v>
      </c>
      <c r="D230">
        <v>600</v>
      </c>
      <c r="E230">
        <v>100</v>
      </c>
      <c r="F230" s="6">
        <v>30326</v>
      </c>
      <c r="O230" t="str">
        <f t="shared" si="5"/>
        <v>INSERT INTO s_item VALUES('5', '582', '600', '600', '100', '30326');</v>
      </c>
    </row>
    <row r="231" spans="1:15" x14ac:dyDescent="0.3">
      <c r="A231" s="5">
        <v>5</v>
      </c>
      <c r="B231" t="s">
        <v>374</v>
      </c>
      <c r="C231">
        <v>40</v>
      </c>
      <c r="D231">
        <v>40</v>
      </c>
      <c r="E231">
        <v>101</v>
      </c>
      <c r="F231" s="6">
        <v>50169</v>
      </c>
      <c r="O231" t="str">
        <f t="shared" si="5"/>
        <v>INSERT INTO s_item VALUES('5', '4.29', '40', '40', '101', '50169');</v>
      </c>
    </row>
    <row r="232" spans="1:15" x14ac:dyDescent="0.3">
      <c r="A232" s="5">
        <v>5</v>
      </c>
      <c r="B232">
        <v>75</v>
      </c>
      <c r="C232">
        <v>98</v>
      </c>
      <c r="D232">
        <v>98</v>
      </c>
      <c r="E232">
        <v>106</v>
      </c>
      <c r="F232" s="6">
        <v>50418</v>
      </c>
      <c r="O232" t="str">
        <f t="shared" si="5"/>
        <v>INSERT INTO s_item VALUES('5', '75', '98', '98', '106', '50418');</v>
      </c>
    </row>
    <row r="233" spans="1:15" x14ac:dyDescent="0.3">
      <c r="A233" s="5">
        <v>5</v>
      </c>
      <c r="B233">
        <v>16</v>
      </c>
      <c r="C233">
        <v>55</v>
      </c>
      <c r="D233">
        <v>55</v>
      </c>
      <c r="E233">
        <v>107</v>
      </c>
      <c r="F233" s="6">
        <v>30421</v>
      </c>
      <c r="O233" t="str">
        <f t="shared" si="5"/>
        <v>INSERT INTO s_item VALUES('5', '16', '55', '55', '107', '30421');</v>
      </c>
    </row>
    <row r="234" spans="1:15" x14ac:dyDescent="0.3">
      <c r="A234" s="5">
        <v>5</v>
      </c>
      <c r="B234">
        <v>60</v>
      </c>
      <c r="C234">
        <v>57</v>
      </c>
      <c r="D234">
        <v>57</v>
      </c>
      <c r="E234">
        <v>108</v>
      </c>
      <c r="F234" s="6">
        <v>32861</v>
      </c>
      <c r="O234" t="str">
        <f t="shared" si="5"/>
        <v>INSERT INTO s_item VALUES('5', '60', '57', '57', '108', '32861');</v>
      </c>
    </row>
    <row r="235" spans="1:15" x14ac:dyDescent="0.3">
      <c r="A235" s="5">
        <v>5</v>
      </c>
      <c r="B235" t="s">
        <v>353</v>
      </c>
      <c r="C235">
        <v>500</v>
      </c>
      <c r="D235">
        <v>500</v>
      </c>
      <c r="E235">
        <v>109</v>
      </c>
      <c r="F235" s="6">
        <v>30426</v>
      </c>
      <c r="O235" t="str">
        <f t="shared" si="5"/>
        <v>INSERT INTO s_item VALUES('5', '18.25', '500', '500', '109', '30426');</v>
      </c>
    </row>
    <row r="236" spans="1:15" x14ac:dyDescent="0.3">
      <c r="A236" s="5">
        <v>6</v>
      </c>
      <c r="B236">
        <v>20</v>
      </c>
      <c r="C236">
        <v>450</v>
      </c>
      <c r="D236">
        <v>450</v>
      </c>
      <c r="E236">
        <v>100</v>
      </c>
      <c r="F236" s="6">
        <v>30433</v>
      </c>
      <c r="O236" t="str">
        <f t="shared" si="5"/>
        <v>INSERT INTO s_item VALUES('6', '20', '450', '450', '100', '30433');</v>
      </c>
    </row>
    <row r="237" spans="1:15" x14ac:dyDescent="0.3">
      <c r="A237" s="5">
        <v>6</v>
      </c>
      <c r="B237">
        <v>80</v>
      </c>
      <c r="C237">
        <v>27</v>
      </c>
      <c r="D237">
        <v>27</v>
      </c>
      <c r="E237">
        <v>101</v>
      </c>
      <c r="F237" s="6">
        <v>50417</v>
      </c>
      <c r="O237" t="str">
        <f t="shared" si="5"/>
        <v>INSERT INTO s_item VALUES('6', '80', '27', '27', '101', '50417');</v>
      </c>
    </row>
    <row r="238" spans="1:15" x14ac:dyDescent="0.3">
      <c r="A238" s="5">
        <v>6</v>
      </c>
      <c r="B238">
        <v>80</v>
      </c>
      <c r="C238">
        <v>27</v>
      </c>
      <c r="D238">
        <v>27</v>
      </c>
      <c r="E238">
        <v>106</v>
      </c>
      <c r="F238" s="6">
        <v>50419</v>
      </c>
      <c r="O238" t="str">
        <f t="shared" si="5"/>
        <v>INSERT INTO s_item VALUES('6', '80', '27', '27', '106', '50419');</v>
      </c>
    </row>
    <row r="239" spans="1:15" x14ac:dyDescent="0.3">
      <c r="A239" s="5">
        <v>6</v>
      </c>
      <c r="B239">
        <v>35</v>
      </c>
      <c r="C239">
        <v>50</v>
      </c>
      <c r="D239">
        <v>50</v>
      </c>
      <c r="E239">
        <v>108</v>
      </c>
      <c r="F239" s="6">
        <v>41080</v>
      </c>
      <c r="O239" t="str">
        <f t="shared" si="5"/>
        <v>INSERT INTO s_item VALUES('6', '35', '50', '50', '108', '41080');</v>
      </c>
    </row>
    <row r="240" spans="1:15" x14ac:dyDescent="0.3">
      <c r="A240" s="5">
        <v>6</v>
      </c>
      <c r="B240">
        <v>60</v>
      </c>
      <c r="C240">
        <v>50</v>
      </c>
      <c r="D240">
        <v>50</v>
      </c>
      <c r="E240">
        <v>109</v>
      </c>
      <c r="F240" s="6">
        <v>32861</v>
      </c>
      <c r="O240" t="str">
        <f t="shared" si="5"/>
        <v>INSERT INTO s_item VALUES('6', '60', '50', '50', '109', '32861');</v>
      </c>
    </row>
    <row r="241" spans="1:15" x14ac:dyDescent="0.3">
      <c r="A241" s="5">
        <v>7</v>
      </c>
      <c r="B241">
        <v>8</v>
      </c>
      <c r="C241">
        <v>250</v>
      </c>
      <c r="D241">
        <v>250</v>
      </c>
      <c r="E241">
        <v>100</v>
      </c>
      <c r="F241" s="6">
        <v>41010</v>
      </c>
      <c r="O241" t="str">
        <f t="shared" si="5"/>
        <v>INSERT INTO s_item VALUES('7', '8', '250', '250', '100', '41010');</v>
      </c>
    </row>
    <row r="242" spans="1:15" x14ac:dyDescent="0.3">
      <c r="A242" s="5">
        <v>7</v>
      </c>
      <c r="B242">
        <v>45</v>
      </c>
      <c r="C242">
        <v>50</v>
      </c>
      <c r="D242">
        <v>50</v>
      </c>
      <c r="E242">
        <v>101</v>
      </c>
      <c r="F242" s="6">
        <v>50530</v>
      </c>
      <c r="O242" t="str">
        <f t="shared" si="5"/>
        <v>INSERT INTO s_item VALUES('7', '45', '50', '50', '101', '50530');</v>
      </c>
    </row>
    <row r="243" spans="1:15" x14ac:dyDescent="0.3">
      <c r="A243" s="5">
        <v>7</v>
      </c>
      <c r="B243">
        <v>45</v>
      </c>
      <c r="C243">
        <v>42</v>
      </c>
      <c r="D243">
        <v>42</v>
      </c>
      <c r="E243">
        <v>108</v>
      </c>
      <c r="F243" s="6">
        <v>41100</v>
      </c>
      <c r="O243" t="str">
        <f t="shared" si="5"/>
        <v>INSERT INTO s_item VALUES('7', '45', '42', '42', '108', '41100');</v>
      </c>
    </row>
    <row r="244" spans="1:15" x14ac:dyDescent="0.3">
      <c r="A244" s="7">
        <v>7</v>
      </c>
      <c r="B244" s="8">
        <v>75</v>
      </c>
      <c r="C244" s="8">
        <v>43</v>
      </c>
      <c r="D244" s="8">
        <v>43</v>
      </c>
      <c r="E244" s="8">
        <v>109</v>
      </c>
      <c r="F244" s="9">
        <v>50418</v>
      </c>
      <c r="O244" t="str">
        <f t="shared" si="5"/>
        <v>INSERT INTO s_item VALUES('7', '75', '43', '43', '109', '50418');</v>
      </c>
    </row>
    <row r="246" spans="1:15" x14ac:dyDescent="0.3">
      <c r="A246" s="1" t="s">
        <v>204</v>
      </c>
    </row>
    <row r="247" spans="1:15" x14ac:dyDescent="0.3">
      <c r="A247" s="14" t="s">
        <v>208</v>
      </c>
      <c r="B247" s="15" t="s">
        <v>432</v>
      </c>
      <c r="C247" s="15" t="s">
        <v>441</v>
      </c>
      <c r="D247" s="15" t="s">
        <v>209</v>
      </c>
      <c r="E247" s="15" t="s">
        <v>205</v>
      </c>
      <c r="F247" s="15" t="s">
        <v>206</v>
      </c>
      <c r="G247" s="15" t="s">
        <v>210</v>
      </c>
      <c r="H247" s="11" t="s">
        <v>211</v>
      </c>
      <c r="O247" t="str">
        <f>"INSERT INTO s_ord VALUES("&amp;A247&amp;", '"&amp;B247&amp;"', '"&amp;C247&amp;"', "&amp;D247&amp;", '"&amp;E247&amp;"', '"&amp;F247&amp;"', "&amp;G247&amp;", "&amp;H247&amp;");"</f>
        <v>INSERT INTO s_ord VALUES(100, '1992-08-31 ', '1992-09-10 ', 601100.00, 'CREDIT', 'Y', 204, 11);</v>
      </c>
    </row>
    <row r="248" spans="1:15" x14ac:dyDescent="0.3">
      <c r="A248" s="16" t="s">
        <v>212</v>
      </c>
      <c r="B248" s="17" t="s">
        <v>432</v>
      </c>
      <c r="C248" s="17" t="s">
        <v>442</v>
      </c>
      <c r="D248" s="17" t="s">
        <v>213</v>
      </c>
      <c r="E248" s="17" t="s">
        <v>205</v>
      </c>
      <c r="F248" s="17" t="s">
        <v>206</v>
      </c>
      <c r="G248" s="17" t="s">
        <v>214</v>
      </c>
      <c r="H248" s="12" t="s">
        <v>215</v>
      </c>
      <c r="O248" t="str">
        <f t="shared" ref="O248:O262" si="6">"INSERT INTO s_ord VALUES("&amp;A248&amp;", '"&amp;B248&amp;"', '"&amp;C248&amp;"', "&amp;D248&amp;", '"&amp;E248&amp;"', '"&amp;F248&amp;"', "&amp;G248&amp;", "&amp;H248&amp;");"</f>
        <v>INSERT INTO s_ord VALUES(101, '1992-08-31 ', '1992-09-15 ', 8056.60, 'CREDIT', 'Y', 205, 14);</v>
      </c>
    </row>
    <row r="249" spans="1:15" x14ac:dyDescent="0.3">
      <c r="A249" s="16" t="s">
        <v>216</v>
      </c>
      <c r="B249" s="17" t="s">
        <v>433</v>
      </c>
      <c r="C249" s="17" t="s">
        <v>438</v>
      </c>
      <c r="D249" s="17" t="s">
        <v>217</v>
      </c>
      <c r="E249" s="17" t="s">
        <v>205</v>
      </c>
      <c r="F249" s="17" t="s">
        <v>206</v>
      </c>
      <c r="G249" s="17" t="s">
        <v>218</v>
      </c>
      <c r="H249" s="12" t="s">
        <v>219</v>
      </c>
      <c r="O249" t="str">
        <f t="shared" si="6"/>
        <v>INSERT INTO s_ord VALUES(102, '1992-09-01 ', '1992-09-08 ', 8335.00, 'CREDIT', 'Y', 206, 12);</v>
      </c>
    </row>
    <row r="250" spans="1:15" x14ac:dyDescent="0.3">
      <c r="A250" s="16" t="s">
        <v>220</v>
      </c>
      <c r="B250" s="17" t="s">
        <v>434</v>
      </c>
      <c r="C250" s="17" t="s">
        <v>443</v>
      </c>
      <c r="D250" s="17" t="s">
        <v>221</v>
      </c>
      <c r="E250" s="17" t="s">
        <v>207</v>
      </c>
      <c r="F250" s="17" t="s">
        <v>206</v>
      </c>
      <c r="G250" s="17" t="s">
        <v>222</v>
      </c>
      <c r="H250" s="12" t="s">
        <v>211</v>
      </c>
      <c r="O250" t="str">
        <f t="shared" si="6"/>
        <v>INSERT INTO s_ord VALUES(103, '1992-09-02 ', '1992-09-22 ', 377.00, 'CASH', 'Y', 208, 11);</v>
      </c>
    </row>
    <row r="251" spans="1:15" x14ac:dyDescent="0.3">
      <c r="A251" s="16" t="s">
        <v>223</v>
      </c>
      <c r="B251" s="17" t="s">
        <v>435</v>
      </c>
      <c r="C251" s="17" t="s">
        <v>444</v>
      </c>
      <c r="D251" s="17" t="s">
        <v>224</v>
      </c>
      <c r="E251" s="17" t="s">
        <v>205</v>
      </c>
      <c r="F251" s="17" t="s">
        <v>206</v>
      </c>
      <c r="G251" s="17" t="s">
        <v>222</v>
      </c>
      <c r="H251" s="12" t="s">
        <v>225</v>
      </c>
      <c r="O251" t="str">
        <f t="shared" si="6"/>
        <v>INSERT INTO s_ord VALUES(104, '1992-09-03 ', '1992-09-23 ', 32430.00, 'CREDIT', 'Y', 208, 13);</v>
      </c>
    </row>
    <row r="252" spans="1:15" x14ac:dyDescent="0.3">
      <c r="A252" s="16" t="s">
        <v>226</v>
      </c>
      <c r="B252" s="17" t="s">
        <v>436</v>
      </c>
      <c r="C252" s="17" t="s">
        <v>445</v>
      </c>
      <c r="D252" s="17" t="s">
        <v>227</v>
      </c>
      <c r="E252" s="17" t="s">
        <v>205</v>
      </c>
      <c r="F252" s="17" t="s">
        <v>206</v>
      </c>
      <c r="G252" s="17" t="s">
        <v>228</v>
      </c>
      <c r="H252" s="12" t="s">
        <v>211</v>
      </c>
      <c r="O252" t="str">
        <f t="shared" si="6"/>
        <v>INSERT INTO s_ord VALUES(105, '1992-09-04 ', '1992-09-18 ', 2722.24, 'CREDIT', 'Y', 209, 11);</v>
      </c>
    </row>
    <row r="253" spans="1:15" x14ac:dyDescent="0.3">
      <c r="A253" s="16" t="s">
        <v>229</v>
      </c>
      <c r="B253" s="17" t="s">
        <v>437</v>
      </c>
      <c r="C253" s="17" t="s">
        <v>442</v>
      </c>
      <c r="D253" s="17" t="s">
        <v>230</v>
      </c>
      <c r="E253" s="17" t="s">
        <v>205</v>
      </c>
      <c r="F253" s="17" t="s">
        <v>206</v>
      </c>
      <c r="G253" s="17" t="s">
        <v>231</v>
      </c>
      <c r="H253" s="12" t="s">
        <v>219</v>
      </c>
      <c r="O253" t="str">
        <f t="shared" si="6"/>
        <v>INSERT INTO s_ord VALUES(106, '1992-09-07 ', '1992-09-15 ', 15634.00, 'CREDIT', 'Y', 210, 12);</v>
      </c>
    </row>
    <row r="254" spans="1:15" x14ac:dyDescent="0.3">
      <c r="A254" s="16" t="s">
        <v>232</v>
      </c>
      <c r="B254" s="17" t="s">
        <v>437</v>
      </c>
      <c r="C254" s="17" t="s">
        <v>446</v>
      </c>
      <c r="D254" s="17" t="s">
        <v>233</v>
      </c>
      <c r="E254" s="17" t="s">
        <v>205</v>
      </c>
      <c r="F254" s="17" t="s">
        <v>206</v>
      </c>
      <c r="G254" s="17" t="s">
        <v>234</v>
      </c>
      <c r="H254" s="12" t="s">
        <v>215</v>
      </c>
      <c r="O254" t="str">
        <f t="shared" si="6"/>
        <v>INSERT INTO s_ord VALUES(107, '1992-09-07 ', '1992-09-21 ', 142171.00, 'CREDIT', 'Y', 211, 14);</v>
      </c>
    </row>
    <row r="255" spans="1:15" x14ac:dyDescent="0.3">
      <c r="A255" s="16" t="s">
        <v>235</v>
      </c>
      <c r="B255" s="17" t="s">
        <v>437</v>
      </c>
      <c r="C255" s="17" t="s">
        <v>441</v>
      </c>
      <c r="D255" s="17" t="s">
        <v>236</v>
      </c>
      <c r="E255" s="17" t="s">
        <v>205</v>
      </c>
      <c r="F255" s="17" t="s">
        <v>206</v>
      </c>
      <c r="G255" s="17" t="s">
        <v>237</v>
      </c>
      <c r="H255" s="12" t="s">
        <v>225</v>
      </c>
      <c r="O255" t="str">
        <f t="shared" si="6"/>
        <v>INSERT INTO s_ord VALUES(108, '1992-09-07 ', '1992-09-10 ', 149570.00, 'CREDIT', 'Y', 212, 13);</v>
      </c>
    </row>
    <row r="256" spans="1:15" x14ac:dyDescent="0.3">
      <c r="A256" s="16" t="s">
        <v>238</v>
      </c>
      <c r="B256" s="17" t="s">
        <v>438</v>
      </c>
      <c r="C256" s="17" t="s">
        <v>447</v>
      </c>
      <c r="D256" s="17" t="s">
        <v>239</v>
      </c>
      <c r="E256" s="17" t="s">
        <v>205</v>
      </c>
      <c r="F256" s="17" t="s">
        <v>206</v>
      </c>
      <c r="G256" s="17" t="s">
        <v>240</v>
      </c>
      <c r="H256" s="12" t="s">
        <v>211</v>
      </c>
      <c r="O256" t="str">
        <f t="shared" si="6"/>
        <v>INSERT INTO s_ord VALUES(109, '1992-09-08 ', '1992-09-28 ', 1020935.00, 'CREDIT', 'Y', 213, 11);</v>
      </c>
    </row>
    <row r="257" spans="1:15" x14ac:dyDescent="0.3">
      <c r="A257" s="16" t="s">
        <v>241</v>
      </c>
      <c r="B257" s="17" t="s">
        <v>439</v>
      </c>
      <c r="C257" s="17" t="s">
        <v>446</v>
      </c>
      <c r="D257" s="17" t="s">
        <v>242</v>
      </c>
      <c r="E257" s="17" t="s">
        <v>207</v>
      </c>
      <c r="F257" s="17" t="s">
        <v>206</v>
      </c>
      <c r="G257" s="17" t="s">
        <v>243</v>
      </c>
      <c r="H257" s="12" t="s">
        <v>211</v>
      </c>
      <c r="O257" t="str">
        <f t="shared" si="6"/>
        <v>INSERT INTO s_ord VALUES(110, '1992-09-09 ', '1992-09-21 ', 1539.13, 'CASH', 'Y', 214, 11);</v>
      </c>
    </row>
    <row r="258" spans="1:15" x14ac:dyDescent="0.3">
      <c r="A258" s="16" t="s">
        <v>244</v>
      </c>
      <c r="B258" s="17" t="s">
        <v>439</v>
      </c>
      <c r="C258" s="17" t="s">
        <v>446</v>
      </c>
      <c r="D258" s="17" t="s">
        <v>245</v>
      </c>
      <c r="E258" s="17" t="s">
        <v>207</v>
      </c>
      <c r="F258" s="17" t="s">
        <v>206</v>
      </c>
      <c r="G258" s="17" t="s">
        <v>210</v>
      </c>
      <c r="H258" s="12" t="s">
        <v>211</v>
      </c>
      <c r="O258" t="str">
        <f t="shared" si="6"/>
        <v>INSERT INTO s_ord VALUES(111, '1992-09-09 ', '1992-09-21 ', 2770.00, 'CASH', 'Y', 204, 11);</v>
      </c>
    </row>
    <row r="259" spans="1:15" x14ac:dyDescent="0.3">
      <c r="A259" s="16" t="s">
        <v>246</v>
      </c>
      <c r="B259" s="17" t="s">
        <v>432</v>
      </c>
      <c r="C259" s="17" t="s">
        <v>441</v>
      </c>
      <c r="D259" s="17" t="s">
        <v>247</v>
      </c>
      <c r="E259" s="17" t="s">
        <v>205</v>
      </c>
      <c r="F259" s="17" t="s">
        <v>206</v>
      </c>
      <c r="G259" s="17" t="s">
        <v>231</v>
      </c>
      <c r="H259" s="12" t="s">
        <v>219</v>
      </c>
      <c r="O259" t="str">
        <f t="shared" si="6"/>
        <v>INSERT INTO s_ord VALUES(112, '1992-08-31 ', '1992-09-10 ', 550.00, 'CREDIT', 'Y', 210, 12);</v>
      </c>
    </row>
    <row r="260" spans="1:15" x14ac:dyDescent="0.3">
      <c r="A260" s="16" t="s">
        <v>248</v>
      </c>
      <c r="B260" s="17" t="s">
        <v>440</v>
      </c>
      <c r="C260" s="17" t="s">
        <v>448</v>
      </c>
      <c r="D260" s="17" t="s">
        <v>249</v>
      </c>
      <c r="E260" s="17" t="s">
        <v>205</v>
      </c>
      <c r="F260" s="17" t="s">
        <v>206</v>
      </c>
      <c r="G260" s="17" t="s">
        <v>250</v>
      </c>
      <c r="H260" s="12" t="s">
        <v>219</v>
      </c>
      <c r="O260" t="str">
        <f t="shared" si="6"/>
        <v>INSERT INTO s_ord VALUES(97, '1992-08-28 ', '1992-09-17 ', 84000.00, 'CREDIT', 'Y', 201, 12);</v>
      </c>
    </row>
    <row r="261" spans="1:15" x14ac:dyDescent="0.3">
      <c r="A261" s="16" t="s">
        <v>251</v>
      </c>
      <c r="B261" s="17" t="s">
        <v>432</v>
      </c>
      <c r="C261" s="17" t="s">
        <v>441</v>
      </c>
      <c r="D261" s="17" t="s">
        <v>252</v>
      </c>
      <c r="E261" s="17" t="s">
        <v>207</v>
      </c>
      <c r="F261" s="17" t="s">
        <v>206</v>
      </c>
      <c r="G261" s="17" t="s">
        <v>253</v>
      </c>
      <c r="H261" s="12" t="s">
        <v>215</v>
      </c>
      <c r="O261" t="str">
        <f t="shared" si="6"/>
        <v>INSERT INTO s_ord VALUES(98, '1992-08-31 ', '1992-09-10 ', 595.00, 'CASH', 'Y', 202, 14);</v>
      </c>
    </row>
    <row r="262" spans="1:15" x14ac:dyDescent="0.3">
      <c r="A262" s="18" t="s">
        <v>254</v>
      </c>
      <c r="B262" s="19" t="s">
        <v>432</v>
      </c>
      <c r="C262" s="19" t="s">
        <v>445</v>
      </c>
      <c r="D262" s="19" t="s">
        <v>255</v>
      </c>
      <c r="E262" s="19" t="s">
        <v>205</v>
      </c>
      <c r="F262" s="19" t="s">
        <v>206</v>
      </c>
      <c r="G262" s="19" t="s">
        <v>256</v>
      </c>
      <c r="H262" s="13" t="s">
        <v>215</v>
      </c>
      <c r="O262" t="str">
        <f t="shared" si="6"/>
        <v>INSERT INTO s_ord VALUES(99, '1992-08-31 ', '1992-09-18 ', 7707.00, 'CREDIT', 'Y', 203, 14);</v>
      </c>
    </row>
    <row r="263" spans="1:15" x14ac:dyDescent="0.3">
      <c r="A263" s="10" t="s">
        <v>257</v>
      </c>
    </row>
    <row r="264" spans="1:15" x14ac:dyDescent="0.3">
      <c r="A264" s="14" t="s">
        <v>324</v>
      </c>
      <c r="B264" s="15" t="s">
        <v>258</v>
      </c>
      <c r="C264" s="15" t="s">
        <v>259</v>
      </c>
      <c r="D264" s="34" t="s">
        <v>325</v>
      </c>
      <c r="E264" s="11" t="s">
        <v>4</v>
      </c>
      <c r="O264" t="str">
        <f t="shared" ref="O264:O295" si="7">"INSERT INTO s_product VALUES("&amp;A264&amp;", '"&amp;B264&amp;"', '"&amp;C264&amp;"', "&amp;D264&amp;", "&amp;E264&amp;")"</f>
        <v>INSERT INTO s_product VALUES(10011, 'Bunny Boot', 'Beginner's ski boot', 150.00, NULL)</v>
      </c>
    </row>
    <row r="265" spans="1:15" x14ac:dyDescent="0.3">
      <c r="A265" s="16" t="s">
        <v>326</v>
      </c>
      <c r="B265" s="17" t="s">
        <v>260</v>
      </c>
      <c r="C265" s="17" t="s">
        <v>261</v>
      </c>
      <c r="D265" s="33" t="s">
        <v>327</v>
      </c>
      <c r="E265" s="12" t="s">
        <v>4</v>
      </c>
      <c r="O265" t="str">
        <f t="shared" si="7"/>
        <v>INSERT INTO s_product VALUES(10012, 'Ace Ski Boot', 'Intermediate ski boot', 200.00, NULL)</v>
      </c>
    </row>
    <row r="266" spans="1:15" x14ac:dyDescent="0.3">
      <c r="A266" s="16" t="s">
        <v>328</v>
      </c>
      <c r="B266" s="17" t="s">
        <v>262</v>
      </c>
      <c r="C266" s="17" t="s">
        <v>263</v>
      </c>
      <c r="D266" s="33" t="s">
        <v>329</v>
      </c>
      <c r="E266" s="12" t="s">
        <v>4</v>
      </c>
      <c r="O266" t="str">
        <f t="shared" si="7"/>
        <v>INSERT INTO s_product VALUES(10013, 'Pro Ski Boot', 'Advanced ski boot', 410.00, NULL)</v>
      </c>
    </row>
    <row r="267" spans="1:15" x14ac:dyDescent="0.3">
      <c r="A267" s="16" t="s">
        <v>330</v>
      </c>
      <c r="B267" s="17" t="s">
        <v>264</v>
      </c>
      <c r="C267" s="17" t="s">
        <v>265</v>
      </c>
      <c r="D267" s="33" t="s">
        <v>331</v>
      </c>
      <c r="E267" s="12" t="s">
        <v>4</v>
      </c>
      <c r="O267" t="str">
        <f t="shared" si="7"/>
        <v>INSERT INTO s_product VALUES(10021, 'Bunny Ski Pole', 'Beginner's ski pole', 16.25, NULL)</v>
      </c>
    </row>
    <row r="268" spans="1:15" x14ac:dyDescent="0.3">
      <c r="A268" s="16" t="s">
        <v>332</v>
      </c>
      <c r="B268" s="17" t="s">
        <v>266</v>
      </c>
      <c r="C268" s="17" t="s">
        <v>267</v>
      </c>
      <c r="D268" s="33" t="s">
        <v>333</v>
      </c>
      <c r="E268" s="12" t="s">
        <v>4</v>
      </c>
      <c r="O268" t="str">
        <f t="shared" si="7"/>
        <v>INSERT INTO s_product VALUES(10022, 'Ace Ski Pole', 'Intermediate ski pole', 21.95, NULL)</v>
      </c>
    </row>
    <row r="269" spans="1:15" x14ac:dyDescent="0.3">
      <c r="A269" s="16" t="s">
        <v>334</v>
      </c>
      <c r="B269" s="17" t="s">
        <v>268</v>
      </c>
      <c r="C269" s="17" t="s">
        <v>269</v>
      </c>
      <c r="D269" s="33" t="s">
        <v>335</v>
      </c>
      <c r="E269" s="12" t="s">
        <v>4</v>
      </c>
      <c r="O269" t="str">
        <f t="shared" si="7"/>
        <v>INSERT INTO s_product VALUES(10023, 'Pro Ski Pole', 'Advanced ski pole', 40.95, NULL)</v>
      </c>
    </row>
    <row r="270" spans="1:15" x14ac:dyDescent="0.3">
      <c r="A270" s="16" t="s">
        <v>336</v>
      </c>
      <c r="B270" s="17" t="s">
        <v>270</v>
      </c>
      <c r="C270" s="17" t="s">
        <v>271</v>
      </c>
      <c r="D270" s="33" t="s">
        <v>337</v>
      </c>
      <c r="E270" s="12" t="s">
        <v>4</v>
      </c>
      <c r="O270" t="str">
        <f t="shared" si="7"/>
        <v>INSERT INTO s_product VALUES(20106, 'Junior Soccer Ball', 'Junior soccer ball', 11.00, NULL)</v>
      </c>
    </row>
    <row r="271" spans="1:15" x14ac:dyDescent="0.3">
      <c r="A271" s="16" t="s">
        <v>338</v>
      </c>
      <c r="B271" s="17" t="s">
        <v>272</v>
      </c>
      <c r="C271" s="17" t="s">
        <v>273</v>
      </c>
      <c r="D271" s="33" t="s">
        <v>339</v>
      </c>
      <c r="E271" s="12" t="s">
        <v>4</v>
      </c>
      <c r="O271" t="str">
        <f t="shared" si="7"/>
        <v>INSERT INTO s_product VALUES(20108, 'World Cup Soccer Ball', 'World cup soccer ball', 28.00, NULL)</v>
      </c>
    </row>
    <row r="272" spans="1:15" x14ac:dyDescent="0.3">
      <c r="A272" s="16" t="s">
        <v>340</v>
      </c>
      <c r="B272" s="17" t="s">
        <v>274</v>
      </c>
      <c r="C272" s="17" t="s">
        <v>275</v>
      </c>
      <c r="D272" s="33" t="s">
        <v>341</v>
      </c>
      <c r="E272" s="12" t="s">
        <v>4</v>
      </c>
      <c r="O272" t="str">
        <f t="shared" si="7"/>
        <v>INSERT INTO s_product VALUES(20201, 'World Cup Net', 'World cup net', 123.00, NULL)</v>
      </c>
    </row>
    <row r="273" spans="1:15" x14ac:dyDescent="0.3">
      <c r="A273" s="16" t="s">
        <v>342</v>
      </c>
      <c r="B273" s="17" t="s">
        <v>276</v>
      </c>
      <c r="C273" s="17" t="s">
        <v>277</v>
      </c>
      <c r="D273" s="33" t="s">
        <v>343</v>
      </c>
      <c r="E273" s="12" t="s">
        <v>4</v>
      </c>
      <c r="O273" t="str">
        <f t="shared" si="7"/>
        <v>INSERT INTO s_product VALUES(20510, 'Black Hawk Knee Pads', 'Knee pads, pair', 9.00, NULL)</v>
      </c>
    </row>
    <row r="274" spans="1:15" x14ac:dyDescent="0.3">
      <c r="A274" s="16" t="s">
        <v>344</v>
      </c>
      <c r="B274" s="17" t="s">
        <v>278</v>
      </c>
      <c r="C274" s="17" t="s">
        <v>279</v>
      </c>
      <c r="D274" s="33" t="s">
        <v>345</v>
      </c>
      <c r="E274" s="12" t="s">
        <v>4</v>
      </c>
      <c r="O274" t="str">
        <f t="shared" si="7"/>
        <v>INSERT INTO s_product VALUES(20512, 'Black Hawk Elbow Pads', 'Elbow pads, pair', 8.00, NULL)</v>
      </c>
    </row>
    <row r="275" spans="1:15" x14ac:dyDescent="0.3">
      <c r="A275" s="16" t="s">
        <v>346</v>
      </c>
      <c r="B275" s="17" t="s">
        <v>280</v>
      </c>
      <c r="C275" s="17" t="s">
        <v>281</v>
      </c>
      <c r="D275" s="33" t="s">
        <v>347</v>
      </c>
      <c r="E275" s="12" t="s">
        <v>4</v>
      </c>
      <c r="O275" t="str">
        <f t="shared" si="7"/>
        <v>INSERT INTO s_product VALUES(30321, 'Grand Prix Bicycle', 'Road bicycle', 1669.00, NULL)</v>
      </c>
    </row>
    <row r="276" spans="1:15" x14ac:dyDescent="0.3">
      <c r="A276" s="16" t="s">
        <v>348</v>
      </c>
      <c r="B276" s="17" t="s">
        <v>282</v>
      </c>
      <c r="C276" s="17" t="s">
        <v>283</v>
      </c>
      <c r="D276" s="33" t="s">
        <v>349</v>
      </c>
      <c r="E276" s="12" t="s">
        <v>4</v>
      </c>
      <c r="O276" t="str">
        <f t="shared" si="7"/>
        <v>INSERT INTO s_product VALUES(30326, 'Himalaya Bicycle', 'Mountain bicycle', 582.00, NULL)</v>
      </c>
    </row>
    <row r="277" spans="1:15" x14ac:dyDescent="0.3">
      <c r="A277" s="16" t="s">
        <v>350</v>
      </c>
      <c r="B277" s="17" t="s">
        <v>284</v>
      </c>
      <c r="C277" s="17" t="s">
        <v>285</v>
      </c>
      <c r="D277" s="33" t="s">
        <v>351</v>
      </c>
      <c r="E277" s="12" t="s">
        <v>4</v>
      </c>
      <c r="O277" t="str">
        <f t="shared" si="7"/>
        <v>INSERT INTO s_product VALUES(30421, 'Grand Prix Bicycle Tires', 'Road bicycle tires', 16.00, NULL)</v>
      </c>
    </row>
    <row r="278" spans="1:15" x14ac:dyDescent="0.3">
      <c r="A278" s="16" t="s">
        <v>352</v>
      </c>
      <c r="B278" s="17" t="s">
        <v>286</v>
      </c>
      <c r="C278" s="17" t="s">
        <v>287</v>
      </c>
      <c r="D278" s="33" t="s">
        <v>353</v>
      </c>
      <c r="E278" s="12" t="s">
        <v>4</v>
      </c>
      <c r="O278" t="str">
        <f t="shared" si="7"/>
        <v>INSERT INTO s_product VALUES(30426, 'Himalaya Tires', 'Mountain bicycle tires', 18.25, NULL)</v>
      </c>
    </row>
    <row r="279" spans="1:15" x14ac:dyDescent="0.3">
      <c r="A279" s="16" t="s">
        <v>354</v>
      </c>
      <c r="B279" s="17" t="s">
        <v>288</v>
      </c>
      <c r="C279" s="17" t="s">
        <v>289</v>
      </c>
      <c r="D279" s="33" t="s">
        <v>355</v>
      </c>
      <c r="E279" s="12" t="s">
        <v>4</v>
      </c>
      <c r="O279" t="str">
        <f t="shared" si="7"/>
        <v>INSERT INTO s_product VALUES(30433, 'New Air Pump', 'Tire pump', 20.00, NULL)</v>
      </c>
    </row>
    <row r="280" spans="1:15" x14ac:dyDescent="0.3">
      <c r="A280" s="16" t="s">
        <v>356</v>
      </c>
      <c r="B280" s="17" t="s">
        <v>290</v>
      </c>
      <c r="C280" s="17" t="s">
        <v>291</v>
      </c>
      <c r="D280" s="33" t="s">
        <v>357</v>
      </c>
      <c r="E280" s="12" t="s">
        <v>4</v>
      </c>
      <c r="O280" t="str">
        <f t="shared" si="7"/>
        <v>INSERT INTO s_product VALUES(32779, 'Slaker Water Bottle', 'Water bottle', 7.00, NULL)</v>
      </c>
    </row>
    <row r="281" spans="1:15" x14ac:dyDescent="0.3">
      <c r="A281" s="16" t="s">
        <v>358</v>
      </c>
      <c r="B281" s="17" t="s">
        <v>292</v>
      </c>
      <c r="C281" s="17" t="s">
        <v>293</v>
      </c>
      <c r="D281" s="33" t="s">
        <v>359</v>
      </c>
      <c r="E281" s="12" t="s">
        <v>4</v>
      </c>
      <c r="O281" t="str">
        <f t="shared" si="7"/>
        <v>INSERT INTO s_product VALUES(32861, 'Safe-T Helmet', 'Bicycle helmet', 60.00, NULL)</v>
      </c>
    </row>
    <row r="282" spans="1:15" x14ac:dyDescent="0.3">
      <c r="A282" s="16" t="s">
        <v>360</v>
      </c>
      <c r="B282" s="17" t="s">
        <v>294</v>
      </c>
      <c r="C282" s="17" t="s">
        <v>295</v>
      </c>
      <c r="D282" s="33" t="s">
        <v>361</v>
      </c>
      <c r="E282" s="12" t="s">
        <v>4</v>
      </c>
      <c r="O282" t="str">
        <f t="shared" si="7"/>
        <v>INSERT INTO s_product VALUES(40421, 'Alexeyer Pro Lifting Bar', 'Straight bar', 65.00, NULL)</v>
      </c>
    </row>
    <row r="283" spans="1:15" x14ac:dyDescent="0.3">
      <c r="A283" s="16" t="s">
        <v>362</v>
      </c>
      <c r="B283" s="17" t="s">
        <v>296</v>
      </c>
      <c r="C283" s="17" t="s">
        <v>297</v>
      </c>
      <c r="D283" s="33" t="s">
        <v>363</v>
      </c>
      <c r="E283" s="12" t="s">
        <v>4</v>
      </c>
      <c r="O283" t="str">
        <f t="shared" si="7"/>
        <v>INSERT INTO s_product VALUES(40422, 'Pro Curling Bar', 'Curling bar', 50.00, NULL)</v>
      </c>
    </row>
    <row r="284" spans="1:15" x14ac:dyDescent="0.3">
      <c r="A284" s="16" t="s">
        <v>364</v>
      </c>
      <c r="B284" s="17" t="s">
        <v>298</v>
      </c>
      <c r="C284" s="17" t="s">
        <v>299</v>
      </c>
      <c r="D284" s="33" t="s">
        <v>345</v>
      </c>
      <c r="E284" s="12" t="s">
        <v>4</v>
      </c>
      <c r="O284" t="str">
        <f t="shared" si="7"/>
        <v>INSERT INTO s_product VALUES(41010, 'Prostar 10 Pound Weight', 'Ten pound weight', 8.00, NULL)</v>
      </c>
    </row>
    <row r="285" spans="1:15" x14ac:dyDescent="0.3">
      <c r="A285" s="16" t="s">
        <v>365</v>
      </c>
      <c r="B285" s="17" t="s">
        <v>300</v>
      </c>
      <c r="C285" s="17" t="s">
        <v>301</v>
      </c>
      <c r="D285" s="33" t="s">
        <v>366</v>
      </c>
      <c r="E285" s="12" t="s">
        <v>4</v>
      </c>
      <c r="O285" t="str">
        <f t="shared" si="7"/>
        <v>INSERT INTO s_product VALUES(41020, 'Prostar 20 Pound Weight', 'Twenty pound weight', 12.00, NULL)</v>
      </c>
    </row>
    <row r="286" spans="1:15" x14ac:dyDescent="0.3">
      <c r="A286" s="16" t="s">
        <v>367</v>
      </c>
      <c r="B286" s="17" t="s">
        <v>302</v>
      </c>
      <c r="C286" s="17" t="s">
        <v>303</v>
      </c>
      <c r="D286" s="33" t="s">
        <v>368</v>
      </c>
      <c r="E286" s="12" t="s">
        <v>4</v>
      </c>
      <c r="O286" t="str">
        <f t="shared" si="7"/>
        <v>INSERT INTO s_product VALUES(41050, 'Prostar 50 Pound Weight', 'Fifty pound weight', 25.00, NULL)</v>
      </c>
    </row>
    <row r="287" spans="1:15" x14ac:dyDescent="0.3">
      <c r="A287" s="16" t="s">
        <v>369</v>
      </c>
      <c r="B287" s="17" t="s">
        <v>304</v>
      </c>
      <c r="C287" s="17" t="s">
        <v>305</v>
      </c>
      <c r="D287" s="33" t="s">
        <v>370</v>
      </c>
      <c r="E287" s="12" t="s">
        <v>4</v>
      </c>
      <c r="O287" t="str">
        <f t="shared" si="7"/>
        <v>INSERT INTO s_product VALUES(41080, 'Prostar 80 Pound Weight', 'Eighty pound weight', 35.00, NULL)</v>
      </c>
    </row>
    <row r="288" spans="1:15" x14ac:dyDescent="0.3">
      <c r="A288" s="16" t="s">
        <v>371</v>
      </c>
      <c r="B288" s="17" t="s">
        <v>306</v>
      </c>
      <c r="C288" s="17" t="s">
        <v>307</v>
      </c>
      <c r="D288" s="33" t="s">
        <v>372</v>
      </c>
      <c r="E288" s="12" t="s">
        <v>4</v>
      </c>
      <c r="O288" t="str">
        <f t="shared" si="7"/>
        <v>INSERT INTO s_product VALUES(41100, 'Prostar 100 Pound Weight', 'One hundred pound weight', 45.00, NULL)</v>
      </c>
    </row>
    <row r="289" spans="1:15" x14ac:dyDescent="0.3">
      <c r="A289" s="16" t="s">
        <v>373</v>
      </c>
      <c r="B289" s="17" t="s">
        <v>308</v>
      </c>
      <c r="C289" s="17" t="s">
        <v>309</v>
      </c>
      <c r="D289" s="33" t="s">
        <v>374</v>
      </c>
      <c r="E289" s="12" t="s">
        <v>4</v>
      </c>
      <c r="O289" t="str">
        <f t="shared" si="7"/>
        <v>INSERT INTO s_product VALUES(50169, 'Major League Baseball', 'Baseball', 4.29, NULL)</v>
      </c>
    </row>
    <row r="290" spans="1:15" x14ac:dyDescent="0.3">
      <c r="A290" s="16" t="s">
        <v>375</v>
      </c>
      <c r="B290" s="17" t="s">
        <v>310</v>
      </c>
      <c r="C290" s="17" t="s">
        <v>311</v>
      </c>
      <c r="D290" s="33" t="s">
        <v>376</v>
      </c>
      <c r="E290" s="12" t="s">
        <v>4</v>
      </c>
      <c r="O290" t="str">
        <f t="shared" si="7"/>
        <v>INSERT INTO s_product VALUES(50273, 'Chapman Helmet', 'Batting helmet', 22.89, NULL)</v>
      </c>
    </row>
    <row r="291" spans="1:15" x14ac:dyDescent="0.3">
      <c r="A291" s="16" t="s">
        <v>377</v>
      </c>
      <c r="B291" s="17" t="s">
        <v>312</v>
      </c>
      <c r="C291" s="17" t="s">
        <v>313</v>
      </c>
      <c r="D291" s="33" t="s">
        <v>378</v>
      </c>
      <c r="E291" s="12" t="s">
        <v>4</v>
      </c>
      <c r="O291" t="str">
        <f t="shared" si="7"/>
        <v>INSERT INTO s_product VALUES(50417, 'Griffey Glove', 'Outfielder's glove', 80.00, NULL)</v>
      </c>
    </row>
    <row r="292" spans="1:15" x14ac:dyDescent="0.3">
      <c r="A292" s="16" t="s">
        <v>379</v>
      </c>
      <c r="B292" s="17" t="s">
        <v>314</v>
      </c>
      <c r="C292" s="17" t="s">
        <v>315</v>
      </c>
      <c r="D292" s="33" t="s">
        <v>380</v>
      </c>
      <c r="E292" s="12" t="s">
        <v>4</v>
      </c>
      <c r="O292" t="str">
        <f t="shared" si="7"/>
        <v>INSERT INTO s_product VALUES(50418, 'Alomar Glove', 'Infielder's glove', 75.00, NULL)</v>
      </c>
    </row>
    <row r="293" spans="1:15" x14ac:dyDescent="0.3">
      <c r="A293" s="16" t="s">
        <v>381</v>
      </c>
      <c r="B293" s="17" t="s">
        <v>316</v>
      </c>
      <c r="C293" s="17" t="s">
        <v>317</v>
      </c>
      <c r="D293" s="33" t="s">
        <v>378</v>
      </c>
      <c r="E293" s="12" t="s">
        <v>4</v>
      </c>
      <c r="O293" t="str">
        <f t="shared" si="7"/>
        <v>INSERT INTO s_product VALUES(50419, 'Steinbach Glove', 'Catcher's glove', 80.00, NULL)</v>
      </c>
    </row>
    <row r="294" spans="1:15" x14ac:dyDescent="0.3">
      <c r="A294" s="16" t="s">
        <v>382</v>
      </c>
      <c r="B294" s="17" t="s">
        <v>318</v>
      </c>
      <c r="C294" s="17" t="s">
        <v>319</v>
      </c>
      <c r="D294" s="33" t="s">
        <v>372</v>
      </c>
      <c r="E294" s="12" t="s">
        <v>4</v>
      </c>
      <c r="O294" t="str">
        <f t="shared" si="7"/>
        <v>INSERT INTO s_product VALUES(50530, 'Cabrera Bat', 'Thirty inch bat', 45.00, NULL)</v>
      </c>
    </row>
    <row r="295" spans="1:15" x14ac:dyDescent="0.3">
      <c r="A295" s="16" t="s">
        <v>383</v>
      </c>
      <c r="B295" s="17" t="s">
        <v>320</v>
      </c>
      <c r="C295" s="17" t="s">
        <v>321</v>
      </c>
      <c r="D295" s="33" t="s">
        <v>384</v>
      </c>
      <c r="E295" s="12" t="s">
        <v>4</v>
      </c>
      <c r="O295" t="str">
        <f t="shared" si="7"/>
        <v>INSERT INTO s_product VALUES(50532, 'Puckett Bat', 'Thirty-two inch bat', 47.00, NULL)</v>
      </c>
    </row>
    <row r="296" spans="1:15" x14ac:dyDescent="0.3">
      <c r="A296" s="18" t="s">
        <v>385</v>
      </c>
      <c r="B296" s="19" t="s">
        <v>322</v>
      </c>
      <c r="C296" s="19" t="s">
        <v>323</v>
      </c>
      <c r="D296" s="36" t="s">
        <v>363</v>
      </c>
      <c r="E296" s="13" t="s">
        <v>4</v>
      </c>
      <c r="O296" t="str">
        <f>"INSERT INTO s_product VALUES("&amp;A296&amp;", '"&amp;B296&amp;"', '"&amp;C296&amp;"', "&amp;D296&amp;", "&amp;E296&amp;")"</f>
        <v>INSERT INTO s_product VALUES(50536, 'Winfield Bat', 'Thirty-six inch bat', 50.00, NULL)</v>
      </c>
    </row>
    <row r="297" spans="1:15" x14ac:dyDescent="0.3">
      <c r="A297" s="10" t="s">
        <v>386</v>
      </c>
    </row>
    <row r="298" spans="1:15" x14ac:dyDescent="0.3">
      <c r="A298" s="2">
        <v>3</v>
      </c>
      <c r="B298" s="3" t="s">
        <v>387</v>
      </c>
      <c r="C298" s="4"/>
      <c r="O298" t="str">
        <f>"INSERT INTO s_region VALUES("&amp;A298&amp;", '"&amp;B298&amp;"')"</f>
        <v>INSERT INTO s_region VALUES(3, 'Africa / Middle East')</v>
      </c>
    </row>
    <row r="299" spans="1:15" x14ac:dyDescent="0.3">
      <c r="A299" s="5">
        <v>4</v>
      </c>
      <c r="B299" t="s">
        <v>388</v>
      </c>
      <c r="C299" s="6"/>
      <c r="O299" t="str">
        <f t="shared" ref="O299:O303" si="8">"INSERT INTO s_region VALUES("&amp;A299&amp;", '"&amp;B299&amp;"')"</f>
        <v>INSERT INTO s_region VALUES(4, 'Asia')</v>
      </c>
    </row>
    <row r="300" spans="1:15" x14ac:dyDescent="0.3">
      <c r="A300" s="5">
        <v>6</v>
      </c>
      <c r="B300" t="s">
        <v>389</v>
      </c>
      <c r="C300" s="6"/>
      <c r="O300" t="str">
        <f t="shared" si="8"/>
        <v>INSERT INTO s_region VALUES(6, 'Central America /Caribbean')</v>
      </c>
    </row>
    <row r="301" spans="1:15" x14ac:dyDescent="0.3">
      <c r="A301" s="5">
        <v>5</v>
      </c>
      <c r="B301" t="s">
        <v>390</v>
      </c>
      <c r="C301" s="6"/>
      <c r="O301" t="str">
        <f t="shared" si="8"/>
        <v>INSERT INTO s_region VALUES(5, 'Europe')</v>
      </c>
    </row>
    <row r="302" spans="1:15" x14ac:dyDescent="0.3">
      <c r="A302" s="5">
        <v>1</v>
      </c>
      <c r="B302" t="s">
        <v>391</v>
      </c>
      <c r="C302" s="6"/>
      <c r="O302" t="str">
        <f t="shared" si="8"/>
        <v>INSERT INTO s_region VALUES(1, 'North America')</v>
      </c>
    </row>
    <row r="303" spans="1:15" x14ac:dyDescent="0.3">
      <c r="A303" s="7">
        <v>2</v>
      </c>
      <c r="B303" s="8" t="s">
        <v>392</v>
      </c>
      <c r="C303" s="9"/>
      <c r="O303" t="str">
        <f t="shared" si="8"/>
        <v>INSERT INTO s_region VALUES(2, 'South America')</v>
      </c>
    </row>
    <row r="304" spans="1:15" x14ac:dyDescent="0.3">
      <c r="A304" s="1" t="s">
        <v>401</v>
      </c>
    </row>
    <row r="305" spans="1:15" x14ac:dyDescent="0.3">
      <c r="A305" s="2">
        <v>101</v>
      </c>
      <c r="B305" s="3" t="s">
        <v>393</v>
      </c>
      <c r="C305" s="3" t="s">
        <v>21</v>
      </c>
      <c r="D305" s="3" t="s">
        <v>394</v>
      </c>
      <c r="E305" s="3" t="s">
        <v>23</v>
      </c>
      <c r="F305" s="3" t="s">
        <v>4</v>
      </c>
      <c r="G305" s="3" t="s">
        <v>4</v>
      </c>
      <c r="H305" s="3">
        <v>1</v>
      </c>
      <c r="I305" s="4">
        <v>6</v>
      </c>
      <c r="O305" t="str">
        <f>"INSERT INTO s_warehouse VALUES('"&amp;A305&amp;"', '"&amp;B305&amp;"', '"&amp;C305&amp;"', '"&amp;D305&amp;"', '"&amp;E305&amp;"', "&amp;F305&amp;", "&amp;G305&amp;", "&amp;H305&amp;", "&amp;I305&amp;");"</f>
        <v>INSERT INTO s_warehouse VALUES('101', '283 King Street', 'Seattle', 'WA', 'US', NULL, NULL, 1, 6);</v>
      </c>
    </row>
    <row r="306" spans="1:15" x14ac:dyDescent="0.3">
      <c r="A306" s="5">
        <v>10501</v>
      </c>
      <c r="B306" t="s">
        <v>395</v>
      </c>
      <c r="C306" t="s">
        <v>396</v>
      </c>
      <c r="D306" t="s">
        <v>4</v>
      </c>
      <c r="E306" t="s">
        <v>397</v>
      </c>
      <c r="F306" t="s">
        <v>4</v>
      </c>
      <c r="G306" t="s">
        <v>4</v>
      </c>
      <c r="H306">
        <v>5</v>
      </c>
      <c r="I306" s="6">
        <v>10</v>
      </c>
      <c r="O306" t="str">
        <f t="shared" ref="O306:O309" si="9">"INSERT INTO s_warehouse VALUES('"&amp;A306&amp;"', '"&amp;B306&amp;"', '"&amp;C306&amp;"', '"&amp;D306&amp;"', '"&amp;E306&amp;"', "&amp;F306&amp;", "&amp;G306&amp;", "&amp;H306&amp;", "&amp;I306&amp;");"</f>
        <v>INSERT INTO s_warehouse VALUES('10501', '5 Modrany', 'Bratislava', 'NULL', 'Czechozlovakia', NULL, NULL, 5, 10);</v>
      </c>
    </row>
    <row r="307" spans="1:15" x14ac:dyDescent="0.3">
      <c r="A307" s="5">
        <v>201</v>
      </c>
      <c r="B307" t="s">
        <v>398</v>
      </c>
      <c r="C307" t="s">
        <v>3</v>
      </c>
      <c r="D307" t="s">
        <v>4</v>
      </c>
      <c r="E307" t="s">
        <v>5</v>
      </c>
      <c r="F307" t="s">
        <v>4</v>
      </c>
      <c r="G307" t="s">
        <v>4</v>
      </c>
      <c r="H307">
        <v>2</v>
      </c>
      <c r="I307" s="6">
        <v>7</v>
      </c>
      <c r="O307" t="str">
        <f t="shared" si="9"/>
        <v>INSERT INTO s_warehouse VALUES('201', '68 Via Centrale', 'Sao Paolo', 'NULL', 'Brazil', NULL, NULL, 2, 7);</v>
      </c>
    </row>
    <row r="308" spans="1:15" x14ac:dyDescent="0.3">
      <c r="A308" s="5">
        <v>301</v>
      </c>
      <c r="B308" t="s">
        <v>399</v>
      </c>
      <c r="C308" t="s">
        <v>36</v>
      </c>
      <c r="D308" t="s">
        <v>4</v>
      </c>
      <c r="E308" t="s">
        <v>37</v>
      </c>
      <c r="F308" t="s">
        <v>4</v>
      </c>
      <c r="G308" t="s">
        <v>4</v>
      </c>
      <c r="H308">
        <v>3</v>
      </c>
      <c r="I308" s="6">
        <v>8</v>
      </c>
      <c r="O308" t="str">
        <f t="shared" si="9"/>
        <v>INSERT INTO s_warehouse VALUES('301', '6921 King Way', 'Lagos', 'NULL', 'Nigeria', NULL, NULL, 3, 8);</v>
      </c>
    </row>
    <row r="309" spans="1:15" x14ac:dyDescent="0.3">
      <c r="A309" s="7">
        <v>401</v>
      </c>
      <c r="B309" s="8" t="s">
        <v>400</v>
      </c>
      <c r="C309" s="8" t="s">
        <v>27</v>
      </c>
      <c r="D309" s="8" t="s">
        <v>4</v>
      </c>
      <c r="E309" s="8" t="s">
        <v>4</v>
      </c>
      <c r="F309" s="8" t="s">
        <v>4</v>
      </c>
      <c r="G309" s="8" t="s">
        <v>4</v>
      </c>
      <c r="H309" s="8">
        <v>4</v>
      </c>
      <c r="I309" s="9">
        <v>9</v>
      </c>
      <c r="O309" t="str">
        <f t="shared" si="9"/>
        <v>INSERT INTO s_warehouse VALUES('401', '86 Chu Street', 'Hong Kong', 'NULL', 'NULL', NULL, NULL, 4, 9);</v>
      </c>
    </row>
  </sheetData>
  <sortState xmlns:xlrd2="http://schemas.microsoft.com/office/spreadsheetml/2017/richdata2" ref="A3:L26">
    <sortCondition ref="A3:A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Thiện Ý</dc:creator>
  <cp:lastModifiedBy>Trần Anh Tuấn</cp:lastModifiedBy>
  <dcterms:created xsi:type="dcterms:W3CDTF">2025-03-21T01:54:21Z</dcterms:created>
  <dcterms:modified xsi:type="dcterms:W3CDTF">2025-10-10T12:13:02Z</dcterms:modified>
</cp:coreProperties>
</file>